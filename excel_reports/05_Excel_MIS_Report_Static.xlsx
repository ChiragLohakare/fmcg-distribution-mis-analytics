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irag lohakare\Downloads\"/>
    </mc:Choice>
  </mc:AlternateContent>
  <xr:revisionPtr revIDLastSave="0" documentId="13_ncr:1_{E3430072-0C79-4985-AF06-A19B6BD37B33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DATA_KPI" sheetId="1" state="hidden" r:id="rId1"/>
    <sheet name="📊 Sales MIS" sheetId="2" r:id="rId2"/>
    <sheet name="📦 Inventory Report" sheetId="3" r:id="rId3"/>
    <sheet name="💰 Cost Variance" sheetId="4" r:id="rId4"/>
    <sheet name="DATA_COST" sheetId="5" state="hidden" r:id="rId5"/>
    <sheet name="👤 Rep Performance" sheetId="6" r:id="rId6"/>
    <sheet name="DATA_REP" sheetId="7" state="hidden" r:id="rId7"/>
    <sheet name="📋 Weekly Summary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6" l="1"/>
  <c r="F5" i="6"/>
  <c r="C38" i="8" s="1"/>
  <c r="D5" i="6"/>
  <c r="C37" i="8" s="1"/>
  <c r="G5" i="4"/>
  <c r="C30" i="8" s="1"/>
  <c r="F5" i="4"/>
  <c r="C29" i="8" s="1"/>
  <c r="B5" i="2"/>
  <c r="E10" i="2"/>
  <c r="E12" i="2"/>
  <c r="E13" i="2"/>
  <c r="H5" i="2"/>
  <c r="C23" i="8"/>
  <c r="I15" i="6"/>
  <c r="H15" i="6"/>
  <c r="G15" i="6"/>
  <c r="E15" i="6"/>
  <c r="F15" i="6" s="1"/>
  <c r="D15" i="6"/>
  <c r="J15" i="6" s="1"/>
  <c r="C15" i="6"/>
  <c r="B15" i="6"/>
  <c r="I14" i="6"/>
  <c r="H14" i="6"/>
  <c r="G14" i="6"/>
  <c r="E14" i="6"/>
  <c r="D14" i="6"/>
  <c r="J14" i="6" s="1"/>
  <c r="C14" i="6"/>
  <c r="B14" i="6"/>
  <c r="I13" i="6"/>
  <c r="H13" i="6"/>
  <c r="G13" i="6"/>
  <c r="E13" i="6"/>
  <c r="D13" i="6"/>
  <c r="F13" i="6" s="1"/>
  <c r="C13" i="6"/>
  <c r="B13" i="6"/>
  <c r="I12" i="6"/>
  <c r="H12" i="6"/>
  <c r="G12" i="6"/>
  <c r="E12" i="6"/>
  <c r="D12" i="6"/>
  <c r="J12" i="6" s="1"/>
  <c r="C12" i="6"/>
  <c r="B12" i="6"/>
  <c r="I11" i="6"/>
  <c r="H11" i="6"/>
  <c r="G11" i="6"/>
  <c r="E11" i="6"/>
  <c r="D11" i="6"/>
  <c r="J11" i="6" s="1"/>
  <c r="C11" i="6"/>
  <c r="B11" i="6"/>
  <c r="I10" i="6"/>
  <c r="H10" i="6"/>
  <c r="G10" i="6"/>
  <c r="E10" i="6"/>
  <c r="D10" i="6"/>
  <c r="F10" i="6" s="1"/>
  <c r="C10" i="6"/>
  <c r="B10" i="6"/>
  <c r="J9" i="6"/>
  <c r="I9" i="6"/>
  <c r="H9" i="6"/>
  <c r="G9" i="6"/>
  <c r="E9" i="6"/>
  <c r="F9" i="6" s="1"/>
  <c r="D9" i="6"/>
  <c r="C9" i="6"/>
  <c r="B9" i="6"/>
  <c r="I8" i="6"/>
  <c r="H8" i="6"/>
  <c r="G8" i="6"/>
  <c r="E8" i="6"/>
  <c r="E16" i="6" s="1"/>
  <c r="D8" i="6"/>
  <c r="D16" i="6" s="1"/>
  <c r="C8" i="6"/>
  <c r="B8" i="6"/>
  <c r="I5" i="6"/>
  <c r="H5" i="6"/>
  <c r="E5" i="6"/>
  <c r="C5" i="6"/>
  <c r="B5" i="6"/>
  <c r="E127" i="4"/>
  <c r="D127" i="4"/>
  <c r="F127" i="4" s="1"/>
  <c r="G127" i="4" s="1"/>
  <c r="H127" i="4" s="1"/>
  <c r="C127" i="4"/>
  <c r="B127" i="4"/>
  <c r="F126" i="4"/>
  <c r="G126" i="4" s="1"/>
  <c r="H126" i="4" s="1"/>
  <c r="E126" i="4"/>
  <c r="D126" i="4"/>
  <c r="C126" i="4"/>
  <c r="B126" i="4"/>
  <c r="E125" i="4"/>
  <c r="D125" i="4"/>
  <c r="C125" i="4"/>
  <c r="B125" i="4"/>
  <c r="E124" i="4"/>
  <c r="D124" i="4"/>
  <c r="F124" i="4" s="1"/>
  <c r="G124" i="4" s="1"/>
  <c r="H124" i="4" s="1"/>
  <c r="C124" i="4"/>
  <c r="B124" i="4"/>
  <c r="E123" i="4"/>
  <c r="F123" i="4" s="1"/>
  <c r="G123" i="4" s="1"/>
  <c r="H123" i="4" s="1"/>
  <c r="D123" i="4"/>
  <c r="C123" i="4"/>
  <c r="B123" i="4"/>
  <c r="E122" i="4"/>
  <c r="F122" i="4" s="1"/>
  <c r="G122" i="4" s="1"/>
  <c r="H122" i="4" s="1"/>
  <c r="D122" i="4"/>
  <c r="C122" i="4"/>
  <c r="B122" i="4"/>
  <c r="E121" i="4"/>
  <c r="D121" i="4"/>
  <c r="C121" i="4"/>
  <c r="B121" i="4"/>
  <c r="E120" i="4"/>
  <c r="D120" i="4"/>
  <c r="C120" i="4"/>
  <c r="B120" i="4"/>
  <c r="E119" i="4"/>
  <c r="F119" i="4" s="1"/>
  <c r="G119" i="4" s="1"/>
  <c r="H119" i="4" s="1"/>
  <c r="D119" i="4"/>
  <c r="C119" i="4"/>
  <c r="B119" i="4"/>
  <c r="E118" i="4"/>
  <c r="D118" i="4"/>
  <c r="C118" i="4"/>
  <c r="B118" i="4"/>
  <c r="E117" i="4"/>
  <c r="F117" i="4" s="1"/>
  <c r="G117" i="4" s="1"/>
  <c r="H117" i="4" s="1"/>
  <c r="D117" i="4"/>
  <c r="C117" i="4"/>
  <c r="B117" i="4"/>
  <c r="E116" i="4"/>
  <c r="D116" i="4"/>
  <c r="F116" i="4" s="1"/>
  <c r="G116" i="4" s="1"/>
  <c r="H116" i="4" s="1"/>
  <c r="C116" i="4"/>
  <c r="B116" i="4"/>
  <c r="E115" i="4"/>
  <c r="D115" i="4"/>
  <c r="F115" i="4" s="1"/>
  <c r="G115" i="4" s="1"/>
  <c r="H115" i="4" s="1"/>
  <c r="C115" i="4"/>
  <c r="B115" i="4"/>
  <c r="F114" i="4"/>
  <c r="G114" i="4" s="1"/>
  <c r="H114" i="4" s="1"/>
  <c r="E114" i="4"/>
  <c r="D114" i="4"/>
  <c r="C114" i="4"/>
  <c r="B114" i="4"/>
  <c r="E113" i="4"/>
  <c r="D113" i="4"/>
  <c r="F113" i="4" s="1"/>
  <c r="G113" i="4" s="1"/>
  <c r="H113" i="4" s="1"/>
  <c r="C113" i="4"/>
  <c r="B113" i="4"/>
  <c r="E112" i="4"/>
  <c r="D112" i="4"/>
  <c r="F112" i="4" s="1"/>
  <c r="G112" i="4" s="1"/>
  <c r="H112" i="4" s="1"/>
  <c r="C112" i="4"/>
  <c r="B112" i="4"/>
  <c r="E111" i="4"/>
  <c r="F111" i="4" s="1"/>
  <c r="G111" i="4" s="1"/>
  <c r="H111" i="4" s="1"/>
  <c r="D111" i="4"/>
  <c r="C111" i="4"/>
  <c r="B111" i="4"/>
  <c r="E110" i="4"/>
  <c r="F110" i="4" s="1"/>
  <c r="G110" i="4" s="1"/>
  <c r="H110" i="4" s="1"/>
  <c r="D110" i="4"/>
  <c r="C110" i="4"/>
  <c r="B110" i="4"/>
  <c r="E109" i="4"/>
  <c r="D109" i="4"/>
  <c r="C109" i="4"/>
  <c r="B109" i="4"/>
  <c r="E108" i="4"/>
  <c r="D108" i="4"/>
  <c r="C108" i="4"/>
  <c r="B108" i="4"/>
  <c r="E107" i="4"/>
  <c r="F107" i="4" s="1"/>
  <c r="G107" i="4" s="1"/>
  <c r="H107" i="4" s="1"/>
  <c r="D107" i="4"/>
  <c r="C107" i="4"/>
  <c r="B107" i="4"/>
  <c r="E106" i="4"/>
  <c r="D106" i="4"/>
  <c r="C106" i="4"/>
  <c r="B106" i="4"/>
  <c r="E105" i="4"/>
  <c r="D105" i="4"/>
  <c r="C105" i="4"/>
  <c r="B105" i="4"/>
  <c r="E104" i="4"/>
  <c r="D104" i="4"/>
  <c r="F104" i="4" s="1"/>
  <c r="G104" i="4" s="1"/>
  <c r="H104" i="4" s="1"/>
  <c r="C104" i="4"/>
  <c r="B104" i="4"/>
  <c r="E103" i="4"/>
  <c r="D103" i="4"/>
  <c r="F103" i="4" s="1"/>
  <c r="G103" i="4" s="1"/>
  <c r="H103" i="4" s="1"/>
  <c r="C103" i="4"/>
  <c r="B103" i="4"/>
  <c r="E102" i="4"/>
  <c r="F102" i="4" s="1"/>
  <c r="G102" i="4" s="1"/>
  <c r="H102" i="4" s="1"/>
  <c r="D102" i="4"/>
  <c r="C102" i="4"/>
  <c r="B102" i="4"/>
  <c r="E101" i="4"/>
  <c r="D101" i="4"/>
  <c r="F101" i="4" s="1"/>
  <c r="G101" i="4" s="1"/>
  <c r="H101" i="4" s="1"/>
  <c r="C101" i="4"/>
  <c r="B101" i="4"/>
  <c r="E100" i="4"/>
  <c r="D100" i="4"/>
  <c r="F100" i="4" s="1"/>
  <c r="G100" i="4" s="1"/>
  <c r="H100" i="4" s="1"/>
  <c r="C100" i="4"/>
  <c r="B100" i="4"/>
  <c r="E99" i="4"/>
  <c r="F99" i="4" s="1"/>
  <c r="G99" i="4" s="1"/>
  <c r="H99" i="4" s="1"/>
  <c r="D99" i="4"/>
  <c r="C99" i="4"/>
  <c r="B99" i="4"/>
  <c r="E98" i="4"/>
  <c r="F98" i="4" s="1"/>
  <c r="G98" i="4" s="1"/>
  <c r="H98" i="4" s="1"/>
  <c r="D98" i="4"/>
  <c r="C98" i="4"/>
  <c r="B98" i="4"/>
  <c r="E97" i="4"/>
  <c r="D97" i="4"/>
  <c r="C97" i="4"/>
  <c r="B97" i="4"/>
  <c r="E96" i="4"/>
  <c r="D96" i="4"/>
  <c r="C96" i="4"/>
  <c r="B96" i="4"/>
  <c r="E95" i="4"/>
  <c r="F95" i="4" s="1"/>
  <c r="G95" i="4" s="1"/>
  <c r="H95" i="4" s="1"/>
  <c r="D95" i="4"/>
  <c r="C95" i="4"/>
  <c r="B95" i="4"/>
  <c r="E94" i="4"/>
  <c r="D94" i="4"/>
  <c r="C94" i="4"/>
  <c r="B94" i="4"/>
  <c r="E93" i="4"/>
  <c r="D93" i="4"/>
  <c r="C93" i="4"/>
  <c r="B93" i="4"/>
  <c r="E92" i="4"/>
  <c r="D92" i="4"/>
  <c r="F92" i="4" s="1"/>
  <c r="G92" i="4" s="1"/>
  <c r="H92" i="4" s="1"/>
  <c r="C92" i="4"/>
  <c r="B92" i="4"/>
  <c r="E91" i="4"/>
  <c r="D91" i="4"/>
  <c r="F91" i="4" s="1"/>
  <c r="G91" i="4" s="1"/>
  <c r="H91" i="4" s="1"/>
  <c r="C91" i="4"/>
  <c r="B91" i="4"/>
  <c r="E90" i="4"/>
  <c r="F90" i="4" s="1"/>
  <c r="G90" i="4" s="1"/>
  <c r="H90" i="4" s="1"/>
  <c r="D90" i="4"/>
  <c r="C90" i="4"/>
  <c r="B90" i="4"/>
  <c r="E89" i="4"/>
  <c r="D89" i="4"/>
  <c r="F89" i="4" s="1"/>
  <c r="G89" i="4" s="1"/>
  <c r="H89" i="4" s="1"/>
  <c r="C89" i="4"/>
  <c r="B89" i="4"/>
  <c r="E88" i="4"/>
  <c r="D88" i="4"/>
  <c r="C88" i="4"/>
  <c r="B88" i="4"/>
  <c r="E87" i="4"/>
  <c r="F87" i="4" s="1"/>
  <c r="G87" i="4" s="1"/>
  <c r="H87" i="4" s="1"/>
  <c r="D87" i="4"/>
  <c r="C87" i="4"/>
  <c r="B87" i="4"/>
  <c r="E86" i="4"/>
  <c r="F86" i="4" s="1"/>
  <c r="G86" i="4" s="1"/>
  <c r="H86" i="4" s="1"/>
  <c r="D86" i="4"/>
  <c r="C86" i="4"/>
  <c r="B86" i="4"/>
  <c r="E85" i="4"/>
  <c r="D85" i="4"/>
  <c r="C85" i="4"/>
  <c r="B85" i="4"/>
  <c r="E84" i="4"/>
  <c r="D84" i="4"/>
  <c r="C84" i="4"/>
  <c r="B84" i="4"/>
  <c r="E83" i="4"/>
  <c r="F83" i="4" s="1"/>
  <c r="G83" i="4" s="1"/>
  <c r="H83" i="4" s="1"/>
  <c r="D83" i="4"/>
  <c r="C83" i="4"/>
  <c r="B83" i="4"/>
  <c r="E82" i="4"/>
  <c r="D82" i="4"/>
  <c r="C82" i="4"/>
  <c r="B82" i="4"/>
  <c r="E81" i="4"/>
  <c r="D81" i="4"/>
  <c r="C81" i="4"/>
  <c r="B81" i="4"/>
  <c r="E80" i="4"/>
  <c r="D80" i="4"/>
  <c r="C80" i="4"/>
  <c r="B80" i="4"/>
  <c r="E79" i="4"/>
  <c r="D79" i="4"/>
  <c r="F79" i="4" s="1"/>
  <c r="G79" i="4" s="1"/>
  <c r="H79" i="4" s="1"/>
  <c r="C79" i="4"/>
  <c r="B79" i="4"/>
  <c r="E78" i="4"/>
  <c r="F78" i="4" s="1"/>
  <c r="G78" i="4" s="1"/>
  <c r="H78" i="4" s="1"/>
  <c r="D78" i="4"/>
  <c r="C78" i="4"/>
  <c r="B78" i="4"/>
  <c r="E77" i="4"/>
  <c r="D77" i="4"/>
  <c r="F77" i="4" s="1"/>
  <c r="G77" i="4" s="1"/>
  <c r="H77" i="4" s="1"/>
  <c r="C77" i="4"/>
  <c r="B77" i="4"/>
  <c r="E76" i="4"/>
  <c r="D76" i="4"/>
  <c r="C76" i="4"/>
  <c r="B76" i="4"/>
  <c r="E75" i="4"/>
  <c r="F75" i="4" s="1"/>
  <c r="G75" i="4" s="1"/>
  <c r="H75" i="4" s="1"/>
  <c r="D75" i="4"/>
  <c r="C75" i="4"/>
  <c r="B75" i="4"/>
  <c r="E74" i="4"/>
  <c r="F74" i="4" s="1"/>
  <c r="G74" i="4" s="1"/>
  <c r="H74" i="4" s="1"/>
  <c r="D74" i="4"/>
  <c r="C74" i="4"/>
  <c r="B74" i="4"/>
  <c r="E73" i="4"/>
  <c r="D73" i="4"/>
  <c r="C73" i="4"/>
  <c r="B73" i="4"/>
  <c r="E72" i="4"/>
  <c r="D72" i="4"/>
  <c r="C72" i="4"/>
  <c r="B72" i="4"/>
  <c r="E71" i="4"/>
  <c r="F71" i="4" s="1"/>
  <c r="G71" i="4" s="1"/>
  <c r="H71" i="4" s="1"/>
  <c r="D71" i="4"/>
  <c r="C71" i="4"/>
  <c r="B71" i="4"/>
  <c r="E70" i="4"/>
  <c r="D70" i="4"/>
  <c r="C70" i="4"/>
  <c r="B70" i="4"/>
  <c r="E69" i="4"/>
  <c r="D69" i="4"/>
  <c r="C69" i="4"/>
  <c r="B69" i="4"/>
  <c r="E68" i="4"/>
  <c r="F68" i="4" s="1"/>
  <c r="G68" i="4" s="1"/>
  <c r="H68" i="4" s="1"/>
  <c r="D68" i="4"/>
  <c r="C68" i="4"/>
  <c r="B68" i="4"/>
  <c r="E67" i="4"/>
  <c r="D67" i="4"/>
  <c r="F67" i="4" s="1"/>
  <c r="G67" i="4" s="1"/>
  <c r="H67" i="4" s="1"/>
  <c r="C67" i="4"/>
  <c r="B67" i="4"/>
  <c r="E66" i="4"/>
  <c r="F66" i="4" s="1"/>
  <c r="G66" i="4" s="1"/>
  <c r="H66" i="4" s="1"/>
  <c r="D66" i="4"/>
  <c r="C66" i="4"/>
  <c r="B66" i="4"/>
  <c r="E65" i="4"/>
  <c r="D65" i="4"/>
  <c r="F65" i="4" s="1"/>
  <c r="G65" i="4" s="1"/>
  <c r="H65" i="4" s="1"/>
  <c r="C65" i="4"/>
  <c r="B65" i="4"/>
  <c r="E64" i="4"/>
  <c r="D64" i="4"/>
  <c r="F64" i="4" s="1"/>
  <c r="G64" i="4" s="1"/>
  <c r="H64" i="4" s="1"/>
  <c r="C64" i="4"/>
  <c r="B64" i="4"/>
  <c r="E63" i="4"/>
  <c r="F63" i="4" s="1"/>
  <c r="G63" i="4" s="1"/>
  <c r="H63" i="4" s="1"/>
  <c r="D63" i="4"/>
  <c r="C63" i="4"/>
  <c r="B63" i="4"/>
  <c r="E62" i="4"/>
  <c r="F62" i="4" s="1"/>
  <c r="G62" i="4" s="1"/>
  <c r="H62" i="4" s="1"/>
  <c r="D62" i="4"/>
  <c r="C62" i="4"/>
  <c r="B62" i="4"/>
  <c r="E61" i="4"/>
  <c r="F61" i="4" s="1"/>
  <c r="G61" i="4" s="1"/>
  <c r="H61" i="4" s="1"/>
  <c r="D61" i="4"/>
  <c r="C61" i="4"/>
  <c r="B61" i="4"/>
  <c r="E60" i="4"/>
  <c r="D60" i="4"/>
  <c r="C60" i="4"/>
  <c r="B60" i="4"/>
  <c r="E59" i="4"/>
  <c r="F59" i="4" s="1"/>
  <c r="G59" i="4" s="1"/>
  <c r="H59" i="4" s="1"/>
  <c r="D59" i="4"/>
  <c r="C59" i="4"/>
  <c r="B59" i="4"/>
  <c r="E58" i="4"/>
  <c r="D58" i="4"/>
  <c r="C58" i="4"/>
  <c r="B58" i="4"/>
  <c r="E57" i="4"/>
  <c r="D57" i="4"/>
  <c r="C57" i="4"/>
  <c r="B57" i="4"/>
  <c r="E56" i="4"/>
  <c r="D56" i="4"/>
  <c r="C56" i="4"/>
  <c r="B56" i="4"/>
  <c r="E55" i="4"/>
  <c r="D55" i="4"/>
  <c r="F55" i="4" s="1"/>
  <c r="G55" i="4" s="1"/>
  <c r="H55" i="4" s="1"/>
  <c r="C55" i="4"/>
  <c r="B55" i="4"/>
  <c r="E54" i="4"/>
  <c r="F54" i="4" s="1"/>
  <c r="G54" i="4" s="1"/>
  <c r="H54" i="4" s="1"/>
  <c r="D54" i="4"/>
  <c r="C54" i="4"/>
  <c r="B54" i="4"/>
  <c r="E53" i="4"/>
  <c r="D53" i="4"/>
  <c r="F53" i="4" s="1"/>
  <c r="G53" i="4" s="1"/>
  <c r="H53" i="4" s="1"/>
  <c r="C53" i="4"/>
  <c r="B53" i="4"/>
  <c r="E52" i="4"/>
  <c r="D52" i="4"/>
  <c r="F52" i="4" s="1"/>
  <c r="G52" i="4" s="1"/>
  <c r="H52" i="4" s="1"/>
  <c r="C52" i="4"/>
  <c r="B52" i="4"/>
  <c r="E51" i="4"/>
  <c r="F51" i="4" s="1"/>
  <c r="G51" i="4" s="1"/>
  <c r="H51" i="4" s="1"/>
  <c r="D51" i="4"/>
  <c r="C51" i="4"/>
  <c r="B51" i="4"/>
  <c r="F50" i="4"/>
  <c r="G50" i="4" s="1"/>
  <c r="H50" i="4" s="1"/>
  <c r="E50" i="4"/>
  <c r="D50" i="4"/>
  <c r="C50" i="4"/>
  <c r="B50" i="4"/>
  <c r="E49" i="4"/>
  <c r="F49" i="4" s="1"/>
  <c r="G49" i="4" s="1"/>
  <c r="H49" i="4" s="1"/>
  <c r="D49" i="4"/>
  <c r="C49" i="4"/>
  <c r="B49" i="4"/>
  <c r="E48" i="4"/>
  <c r="D48" i="4"/>
  <c r="C48" i="4"/>
  <c r="B48" i="4"/>
  <c r="E47" i="4"/>
  <c r="F47" i="4" s="1"/>
  <c r="G47" i="4" s="1"/>
  <c r="H47" i="4" s="1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F43" i="4" s="1"/>
  <c r="G43" i="4" s="1"/>
  <c r="H43" i="4" s="1"/>
  <c r="C43" i="4"/>
  <c r="B43" i="4"/>
  <c r="E42" i="4"/>
  <c r="F42" i="4" s="1"/>
  <c r="G42" i="4" s="1"/>
  <c r="H42" i="4" s="1"/>
  <c r="D42" i="4"/>
  <c r="C42" i="4"/>
  <c r="B42" i="4"/>
  <c r="E41" i="4"/>
  <c r="D41" i="4"/>
  <c r="F41" i="4" s="1"/>
  <c r="G41" i="4" s="1"/>
  <c r="H41" i="4" s="1"/>
  <c r="C41" i="4"/>
  <c r="B41" i="4"/>
  <c r="E40" i="4"/>
  <c r="D40" i="4"/>
  <c r="F40" i="4" s="1"/>
  <c r="G40" i="4" s="1"/>
  <c r="H40" i="4" s="1"/>
  <c r="C40" i="4"/>
  <c r="B40" i="4"/>
  <c r="F39" i="4"/>
  <c r="G39" i="4" s="1"/>
  <c r="H39" i="4" s="1"/>
  <c r="E39" i="4"/>
  <c r="D39" i="4"/>
  <c r="C39" i="4"/>
  <c r="B39" i="4"/>
  <c r="F38" i="4"/>
  <c r="G38" i="4" s="1"/>
  <c r="H38" i="4" s="1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F35" i="4" s="1"/>
  <c r="G35" i="4" s="1"/>
  <c r="H35" i="4" s="1"/>
  <c r="D35" i="4"/>
  <c r="C35" i="4"/>
  <c r="B35" i="4"/>
  <c r="E34" i="4"/>
  <c r="F34" i="4" s="1"/>
  <c r="G34" i="4" s="1"/>
  <c r="H34" i="4" s="1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F30" i="4" s="1"/>
  <c r="G30" i="4" s="1"/>
  <c r="H30" i="4" s="1"/>
  <c r="D30" i="4"/>
  <c r="C30" i="4"/>
  <c r="B30" i="4"/>
  <c r="E29" i="4"/>
  <c r="D29" i="4"/>
  <c r="F29" i="4" s="1"/>
  <c r="G29" i="4" s="1"/>
  <c r="H29" i="4" s="1"/>
  <c r="C29" i="4"/>
  <c r="B29" i="4"/>
  <c r="E28" i="4"/>
  <c r="D28" i="4"/>
  <c r="F28" i="4" s="1"/>
  <c r="G28" i="4" s="1"/>
  <c r="H28" i="4" s="1"/>
  <c r="C28" i="4"/>
  <c r="B28" i="4"/>
  <c r="F27" i="4"/>
  <c r="G27" i="4" s="1"/>
  <c r="H27" i="4" s="1"/>
  <c r="E27" i="4"/>
  <c r="D27" i="4"/>
  <c r="C27" i="4"/>
  <c r="B27" i="4"/>
  <c r="E26" i="4"/>
  <c r="F26" i="4" s="1"/>
  <c r="G26" i="4" s="1"/>
  <c r="H26" i="4" s="1"/>
  <c r="D26" i="4"/>
  <c r="C26" i="4"/>
  <c r="B26" i="4"/>
  <c r="E25" i="4"/>
  <c r="D25" i="4"/>
  <c r="C25" i="4"/>
  <c r="B25" i="4"/>
  <c r="E24" i="4"/>
  <c r="D24" i="4"/>
  <c r="C24" i="4"/>
  <c r="B24" i="4"/>
  <c r="F23" i="4"/>
  <c r="G23" i="4" s="1"/>
  <c r="H23" i="4" s="1"/>
  <c r="E23" i="4"/>
  <c r="D23" i="4"/>
  <c r="C23" i="4"/>
  <c r="B23" i="4"/>
  <c r="E22" i="4"/>
  <c r="F22" i="4" s="1"/>
  <c r="G22" i="4" s="1"/>
  <c r="H22" i="4" s="1"/>
  <c r="D22" i="4"/>
  <c r="C22" i="4"/>
  <c r="B22" i="4"/>
  <c r="E21" i="4"/>
  <c r="D21" i="4"/>
  <c r="C21" i="4"/>
  <c r="B21" i="4"/>
  <c r="E20" i="4"/>
  <c r="D20" i="4"/>
  <c r="F20" i="4" s="1"/>
  <c r="G20" i="4" s="1"/>
  <c r="H20" i="4" s="1"/>
  <c r="C20" i="4"/>
  <c r="B20" i="4"/>
  <c r="E19" i="4"/>
  <c r="D19" i="4"/>
  <c r="C19" i="4"/>
  <c r="B19" i="4"/>
  <c r="E18" i="4"/>
  <c r="F18" i="4" s="1"/>
  <c r="G18" i="4" s="1"/>
  <c r="H18" i="4" s="1"/>
  <c r="D18" i="4"/>
  <c r="C18" i="4"/>
  <c r="B18" i="4"/>
  <c r="E17" i="4"/>
  <c r="D17" i="4"/>
  <c r="F17" i="4" s="1"/>
  <c r="G17" i="4" s="1"/>
  <c r="H17" i="4" s="1"/>
  <c r="C17" i="4"/>
  <c r="B17" i="4"/>
  <c r="E16" i="4"/>
  <c r="D16" i="4"/>
  <c r="F16" i="4" s="1"/>
  <c r="G16" i="4" s="1"/>
  <c r="H16" i="4" s="1"/>
  <c r="C16" i="4"/>
  <c r="B16" i="4"/>
  <c r="E15" i="4"/>
  <c r="F15" i="4" s="1"/>
  <c r="G15" i="4" s="1"/>
  <c r="H15" i="4" s="1"/>
  <c r="D15" i="4"/>
  <c r="C15" i="4"/>
  <c r="B15" i="4"/>
  <c r="E14" i="4"/>
  <c r="F14" i="4" s="1"/>
  <c r="G14" i="4" s="1"/>
  <c r="H14" i="4" s="1"/>
  <c r="D14" i="4"/>
  <c r="C14" i="4"/>
  <c r="B14" i="4"/>
  <c r="E13" i="4"/>
  <c r="D13" i="4"/>
  <c r="C13" i="4"/>
  <c r="B13" i="4"/>
  <c r="E12" i="4"/>
  <c r="F12" i="4" s="1"/>
  <c r="G12" i="4" s="1"/>
  <c r="H12" i="4" s="1"/>
  <c r="D12" i="4"/>
  <c r="C12" i="4"/>
  <c r="B12" i="4"/>
  <c r="F11" i="4"/>
  <c r="G11" i="4" s="1"/>
  <c r="H11" i="4" s="1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D5" i="4"/>
  <c r="C27" i="8" s="1"/>
  <c r="C5" i="4"/>
  <c r="C26" i="8" s="1"/>
  <c r="B5" i="4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19" i="3"/>
  <c r="E19" i="3"/>
  <c r="G19" i="3" s="1"/>
  <c r="D19" i="3"/>
  <c r="C19" i="3"/>
  <c r="F19" i="3" s="1"/>
  <c r="B19" i="3"/>
  <c r="H18" i="3"/>
  <c r="E18" i="3"/>
  <c r="D18" i="3"/>
  <c r="C18" i="3"/>
  <c r="B18" i="3"/>
  <c r="H17" i="3"/>
  <c r="E17" i="3"/>
  <c r="D17" i="3"/>
  <c r="C17" i="3"/>
  <c r="F17" i="3" s="1"/>
  <c r="B17" i="3"/>
  <c r="H16" i="3"/>
  <c r="E16" i="3"/>
  <c r="D16" i="3"/>
  <c r="C16" i="3"/>
  <c r="G16" i="3" s="1"/>
  <c r="B16" i="3"/>
  <c r="H15" i="3"/>
  <c r="E15" i="3"/>
  <c r="D15" i="3"/>
  <c r="C15" i="3"/>
  <c r="B15" i="3"/>
  <c r="H14" i="3"/>
  <c r="E14" i="3"/>
  <c r="G14" i="3" s="1"/>
  <c r="D14" i="3"/>
  <c r="C14" i="3"/>
  <c r="B14" i="3"/>
  <c r="H13" i="3"/>
  <c r="E13" i="3"/>
  <c r="D13" i="3"/>
  <c r="C13" i="3"/>
  <c r="G13" i="3" s="1"/>
  <c r="B13" i="3"/>
  <c r="H12" i="3"/>
  <c r="E12" i="3"/>
  <c r="G12" i="3" s="1"/>
  <c r="D12" i="3"/>
  <c r="C12" i="3"/>
  <c r="B12" i="3"/>
  <c r="H11" i="3"/>
  <c r="E11" i="3"/>
  <c r="D11" i="3"/>
  <c r="C11" i="3"/>
  <c r="B11" i="3"/>
  <c r="H10" i="3"/>
  <c r="E10" i="3"/>
  <c r="D10" i="3"/>
  <c r="C10" i="3"/>
  <c r="F10" i="3" s="1"/>
  <c r="B10" i="3"/>
  <c r="H9" i="3"/>
  <c r="E9" i="3"/>
  <c r="D9" i="3"/>
  <c r="C9" i="3"/>
  <c r="F9" i="3" s="1"/>
  <c r="B9" i="3"/>
  <c r="H8" i="3"/>
  <c r="E8" i="3"/>
  <c r="G8" i="3" s="1"/>
  <c r="D8" i="3"/>
  <c r="C8" i="3"/>
  <c r="F8" i="3" s="1"/>
  <c r="B8" i="3"/>
  <c r="G5" i="3"/>
  <c r="C22" i="8" s="1"/>
  <c r="F5" i="3"/>
  <c r="E5" i="3"/>
  <c r="D5" i="3"/>
  <c r="C43" i="8" s="1"/>
  <c r="C5" i="3"/>
  <c r="B5" i="3"/>
  <c r="C20" i="8" s="1"/>
  <c r="H19" i="2"/>
  <c r="F19" i="2"/>
  <c r="D19" i="2"/>
  <c r="C19" i="2"/>
  <c r="G19" i="2" s="1"/>
  <c r="B19" i="2"/>
  <c r="H18" i="2"/>
  <c r="F18" i="2"/>
  <c r="D18" i="2"/>
  <c r="C18" i="2"/>
  <c r="B18" i="2"/>
  <c r="H17" i="2"/>
  <c r="F17" i="2"/>
  <c r="G17" i="2" s="1"/>
  <c r="D17" i="2"/>
  <c r="C17" i="2"/>
  <c r="E17" i="2" s="1"/>
  <c r="B17" i="2"/>
  <c r="H16" i="2"/>
  <c r="F16" i="2"/>
  <c r="D16" i="2"/>
  <c r="C16" i="2"/>
  <c r="G16" i="2" s="1"/>
  <c r="B16" i="2"/>
  <c r="H15" i="2"/>
  <c r="F15" i="2"/>
  <c r="D15" i="2"/>
  <c r="C15" i="2"/>
  <c r="E15" i="2" s="1"/>
  <c r="B15" i="2"/>
  <c r="H14" i="2"/>
  <c r="F14" i="2"/>
  <c r="D14" i="2"/>
  <c r="C14" i="2"/>
  <c r="E14" i="2" s="1"/>
  <c r="B14" i="2"/>
  <c r="H13" i="2"/>
  <c r="F13" i="2"/>
  <c r="D13" i="2"/>
  <c r="C13" i="2"/>
  <c r="G13" i="2" s="1"/>
  <c r="B13" i="2"/>
  <c r="H12" i="2"/>
  <c r="F12" i="2"/>
  <c r="D12" i="2"/>
  <c r="C12" i="2"/>
  <c r="B12" i="2"/>
  <c r="H11" i="2"/>
  <c r="F11" i="2"/>
  <c r="G11" i="2" s="1"/>
  <c r="D11" i="2"/>
  <c r="E11" i="2" s="1"/>
  <c r="C11" i="2"/>
  <c r="B11" i="2"/>
  <c r="H10" i="2"/>
  <c r="F10" i="2"/>
  <c r="D10" i="2"/>
  <c r="C10" i="2"/>
  <c r="B10" i="2"/>
  <c r="H9" i="2"/>
  <c r="F9" i="2"/>
  <c r="D9" i="2"/>
  <c r="C9" i="2"/>
  <c r="B9" i="2"/>
  <c r="H8" i="2"/>
  <c r="F8" i="2"/>
  <c r="D8" i="2"/>
  <c r="C8" i="2"/>
  <c r="B8" i="2"/>
  <c r="G5" i="2"/>
  <c r="E5" i="2"/>
  <c r="C5" i="2"/>
  <c r="G14" i="2" l="1"/>
  <c r="F13" i="4"/>
  <c r="G13" i="4" s="1"/>
  <c r="H13" i="4" s="1"/>
  <c r="H20" i="3"/>
  <c r="F12" i="3"/>
  <c r="F9" i="4"/>
  <c r="G9" i="4" s="1"/>
  <c r="H9" i="4" s="1"/>
  <c r="F36" i="4"/>
  <c r="G36" i="4" s="1"/>
  <c r="H36" i="4" s="1"/>
  <c r="F58" i="4"/>
  <c r="G58" i="4" s="1"/>
  <c r="H58" i="4" s="1"/>
  <c r="F85" i="4"/>
  <c r="G85" i="4" s="1"/>
  <c r="H85" i="4" s="1"/>
  <c r="J10" i="6"/>
  <c r="H5" i="3"/>
  <c r="C19" i="8" s="1"/>
  <c r="E128" i="4"/>
  <c r="F37" i="4"/>
  <c r="G37" i="4" s="1"/>
  <c r="H37" i="4" s="1"/>
  <c r="F56" i="4"/>
  <c r="G56" i="4" s="1"/>
  <c r="H56" i="4" s="1"/>
  <c r="F21" i="4"/>
  <c r="G21" i="4" s="1"/>
  <c r="H21" i="4" s="1"/>
  <c r="F48" i="4"/>
  <c r="G48" i="4" s="1"/>
  <c r="H48" i="4" s="1"/>
  <c r="F97" i="4"/>
  <c r="G97" i="4" s="1"/>
  <c r="H97" i="4" s="1"/>
  <c r="H16" i="6"/>
  <c r="G17" i="3"/>
  <c r="F32" i="4"/>
  <c r="G32" i="4" s="1"/>
  <c r="H32" i="4" s="1"/>
  <c r="F81" i="4"/>
  <c r="G81" i="4" s="1"/>
  <c r="H81" i="4" s="1"/>
  <c r="C20" i="2"/>
  <c r="D20" i="3"/>
  <c r="C17" i="8" s="1"/>
  <c r="F33" i="4"/>
  <c r="G33" i="4" s="1"/>
  <c r="H33" i="4" s="1"/>
  <c r="F60" i="4"/>
  <c r="G60" i="4" s="1"/>
  <c r="H60" i="4" s="1"/>
  <c r="F82" i="4"/>
  <c r="G82" i="4" s="1"/>
  <c r="H82" i="4" s="1"/>
  <c r="F109" i="4"/>
  <c r="G109" i="4" s="1"/>
  <c r="H109" i="4" s="1"/>
  <c r="G15" i="2"/>
  <c r="G9" i="3"/>
  <c r="G18" i="3"/>
  <c r="F25" i="4"/>
  <c r="G25" i="4" s="1"/>
  <c r="H25" i="4" s="1"/>
  <c r="F44" i="4"/>
  <c r="G44" i="4" s="1"/>
  <c r="H44" i="4" s="1"/>
  <c r="F93" i="4"/>
  <c r="G93" i="4" s="1"/>
  <c r="H93" i="4" s="1"/>
  <c r="F120" i="4"/>
  <c r="G120" i="4" s="1"/>
  <c r="H120" i="4" s="1"/>
  <c r="J13" i="6"/>
  <c r="G8" i="2"/>
  <c r="G18" i="2"/>
  <c r="F31" i="4"/>
  <c r="G31" i="4" s="1"/>
  <c r="H31" i="4" s="1"/>
  <c r="F69" i="4"/>
  <c r="G69" i="4" s="1"/>
  <c r="H69" i="4" s="1"/>
  <c r="F80" i="4"/>
  <c r="G80" i="4" s="1"/>
  <c r="H80" i="4" s="1"/>
  <c r="F88" i="4"/>
  <c r="G88" i="4" s="1"/>
  <c r="H88" i="4" s="1"/>
  <c r="F96" i="4"/>
  <c r="G96" i="4" s="1"/>
  <c r="H96" i="4" s="1"/>
  <c r="F118" i="4"/>
  <c r="G118" i="4" s="1"/>
  <c r="H118" i="4" s="1"/>
  <c r="E5" i="4"/>
  <c r="F16" i="6"/>
  <c r="C11" i="8"/>
  <c r="F14" i="3"/>
  <c r="F45" i="4"/>
  <c r="G45" i="4" s="1"/>
  <c r="H45" i="4" s="1"/>
  <c r="F72" i="4"/>
  <c r="G72" i="4" s="1"/>
  <c r="H72" i="4" s="1"/>
  <c r="F94" i="4"/>
  <c r="G94" i="4" s="1"/>
  <c r="H94" i="4" s="1"/>
  <c r="F121" i="4"/>
  <c r="G121" i="4" s="1"/>
  <c r="H121" i="4" s="1"/>
  <c r="G10" i="3"/>
  <c r="F105" i="4"/>
  <c r="G105" i="4" s="1"/>
  <c r="H105" i="4" s="1"/>
  <c r="G16" i="6"/>
  <c r="F14" i="6"/>
  <c r="G9" i="2"/>
  <c r="F70" i="4"/>
  <c r="G70" i="4" s="1"/>
  <c r="H70" i="4" s="1"/>
  <c r="H20" i="2"/>
  <c r="F108" i="4"/>
  <c r="G108" i="4" s="1"/>
  <c r="H108" i="4" s="1"/>
  <c r="I16" i="6"/>
  <c r="E9" i="2"/>
  <c r="F11" i="3"/>
  <c r="F13" i="3"/>
  <c r="F15" i="3"/>
  <c r="D128" i="4"/>
  <c r="F24" i="4"/>
  <c r="G24" i="4" s="1"/>
  <c r="H24" i="4" s="1"/>
  <c r="F46" i="4"/>
  <c r="G46" i="4" s="1"/>
  <c r="H46" i="4" s="1"/>
  <c r="F73" i="4"/>
  <c r="G73" i="4" s="1"/>
  <c r="H73" i="4" s="1"/>
  <c r="C12" i="8"/>
  <c r="G12" i="2"/>
  <c r="G15" i="3"/>
  <c r="F8" i="4"/>
  <c r="F128" i="4" s="1"/>
  <c r="G128" i="4" s="1"/>
  <c r="F19" i="4"/>
  <c r="G19" i="4" s="1"/>
  <c r="H19" i="4" s="1"/>
  <c r="F57" i="4"/>
  <c r="G57" i="4" s="1"/>
  <c r="H57" i="4" s="1"/>
  <c r="F76" i="4"/>
  <c r="G76" i="4" s="1"/>
  <c r="H76" i="4" s="1"/>
  <c r="F84" i="4"/>
  <c r="G84" i="4" s="1"/>
  <c r="H84" i="4" s="1"/>
  <c r="F106" i="4"/>
  <c r="G106" i="4" s="1"/>
  <c r="H106" i="4" s="1"/>
  <c r="F125" i="4"/>
  <c r="G125" i="4" s="1"/>
  <c r="H125" i="4" s="1"/>
  <c r="E19" i="2"/>
  <c r="E8" i="2"/>
  <c r="E18" i="2"/>
  <c r="E16" i="2"/>
  <c r="G8" i="4"/>
  <c r="H8" i="4" s="1"/>
  <c r="C5" i="8"/>
  <c r="D20" i="2"/>
  <c r="C6" i="8" s="1"/>
  <c r="F16" i="3"/>
  <c r="C20" i="3"/>
  <c r="C16" i="8" s="1"/>
  <c r="F8" i="6"/>
  <c r="F12" i="6"/>
  <c r="F20" i="2"/>
  <c r="G11" i="3"/>
  <c r="F18" i="3"/>
  <c r="E20" i="3"/>
  <c r="F10" i="4"/>
  <c r="G10" i="4" s="1"/>
  <c r="H10" i="4" s="1"/>
  <c r="C35" i="8"/>
  <c r="F11" i="6"/>
  <c r="C36" i="8"/>
  <c r="J8" i="6"/>
  <c r="C21" i="8"/>
  <c r="C10" i="8"/>
  <c r="G10" i="2"/>
  <c r="C44" i="8"/>
  <c r="C39" i="8" l="1"/>
  <c r="F20" i="3"/>
  <c r="G20" i="2"/>
  <c r="C8" i="8"/>
  <c r="C46" i="8"/>
  <c r="E20" i="2"/>
  <c r="D5" i="2" s="1"/>
  <c r="G20" i="3"/>
  <c r="C18" i="8"/>
  <c r="C9" i="8" l="1"/>
  <c r="F5" i="2"/>
  <c r="C42" i="8"/>
  <c r="C7" i="8"/>
  <c r="C13" i="8"/>
  <c r="C45" i="8"/>
  <c r="I5" i="4" l="1"/>
  <c r="C32" i="8" s="1"/>
  <c r="H5" i="4"/>
  <c r="C31" i="8" s="1"/>
  <c r="C28" i="8"/>
</calcChain>
</file>

<file path=xl/sharedStrings.xml><?xml version="1.0" encoding="utf-8"?>
<sst xmlns="http://schemas.openxmlformats.org/spreadsheetml/2006/main" count="675" uniqueCount="277">
  <si>
    <t>month</t>
  </si>
  <si>
    <t>month_name</t>
  </si>
  <si>
    <t>net_sales_inr</t>
  </si>
  <si>
    <t>gross_profit_inr</t>
  </si>
  <si>
    <t>gp_margin_pct</t>
  </si>
  <si>
    <t>sales_target_inr</t>
  </si>
  <si>
    <t>target_achievement_pct</t>
  </si>
  <si>
    <t>total_opex_inr</t>
  </si>
  <si>
    <t>opex_budget_inr</t>
  </si>
  <si>
    <t>opex_variance_pct</t>
  </si>
  <si>
    <t>grn_units</t>
  </si>
  <si>
    <t>issue_units</t>
  </si>
  <si>
    <t>damage_units</t>
  </si>
  <si>
    <t>dispatch_trips</t>
  </si>
  <si>
    <t>on_time_deliveries</t>
  </si>
  <si>
    <t>otd_pct</t>
  </si>
  <si>
    <t>invoices_raised</t>
  </si>
  <si>
    <t>active_customers</t>
  </si>
  <si>
    <t>active_skus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</si>
  <si>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</si>
  <si>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</si>
  <si>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</si>
  <si>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</si>
  <si>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</si>
  <si>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</si>
  <si>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</si>
  <si>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</si>
  <si>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</si>
  <si>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</si>
  <si>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</si>
  <si>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</si>
  <si>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SHREENATH AGRO &amp; FMCG DISTRIBUTORS PVT. LTD.</t>
  </si>
  <si>
    <t>Monthly Sales MIS Report — FY 2024  |  Nagpur, Maharashtra</t>
  </si>
  <si>
    <t>📦 TOTAL NET SALES</t>
  </si>
  <si>
    <t>🎯 TOTAL TARGET</t>
  </si>
  <si>
    <t>📈 ACHIEVEMENT %</t>
  </si>
  <si>
    <t>💰 GROSS PROFIT</t>
  </si>
  <si>
    <t>📊 GP MARGIN %</t>
  </si>
  <si>
    <t>⚙️ TOTAL OPEX</t>
  </si>
  <si>
    <t>📋 OPEX BUDGET</t>
  </si>
  <si>
    <t>#</t>
  </si>
  <si>
    <t>Month</t>
  </si>
  <si>
    <t>Actual Sales (₹)</t>
  </si>
  <si>
    <t>Target Sales (₹)</t>
  </si>
  <si>
    <t>Achievement %</t>
  </si>
  <si>
    <t>Gross Profit (₹)</t>
  </si>
  <si>
    <t>GP Margin %</t>
  </si>
  <si>
    <t>Total OpEx (₹)</t>
  </si>
  <si>
    <t>GRAND TOTAL</t>
  </si>
  <si>
    <t>INVENTORY &amp; STOCK ANALYSIS — FY 2024</t>
  </si>
  <si>
    <t>Monthly Inventory KPIs  |  Shreenath Agro &amp; FMCG Distributors</t>
  </si>
  <si>
    <t>📥 TOTAL GRN UNITS</t>
  </si>
  <si>
    <t>📤 TOTAL ISSUED UNITS</t>
  </si>
  <si>
    <t>⚠️ TOTAL DAMAGE UNITS</t>
  </si>
  <si>
    <t>🚛 DISPATCH TRIPS</t>
  </si>
  <si>
    <t>✅ ON-TIME DELIVERS</t>
  </si>
  <si>
    <t>📊 AVG OTD %</t>
  </si>
  <si>
    <t>📋 DAMAGE RATE %</t>
  </si>
  <si>
    <t>GRN Units</t>
  </si>
  <si>
    <t>Issued Units</t>
  </si>
  <si>
    <t>Damage Units</t>
  </si>
  <si>
    <t>Net Movement</t>
  </si>
  <si>
    <t>Damage Rate %</t>
  </si>
  <si>
    <t>OTD %</t>
  </si>
  <si>
    <t>FULL YEAR TOTAL</t>
  </si>
  <si>
    <t>SKU-WISE PERFORMANCE SUMMARY</t>
  </si>
  <si>
    <t>SKU Name</t>
  </si>
  <si>
    <t>Category</t>
  </si>
  <si>
    <t>Brand</t>
  </si>
  <si>
    <t>Total Units Sold</t>
  </si>
  <si>
    <t>Total Net Sales (₹)</t>
  </si>
  <si>
    <t>Total Gross Profit (₹)</t>
  </si>
  <si>
    <t>GP %</t>
  </si>
  <si>
    <t>Aashirvaad Atta 5kg</t>
  </si>
  <si>
    <t>Staples</t>
  </si>
  <si>
    <t>ITC</t>
  </si>
  <si>
    <t>Fortune Soyabean Oil 1L</t>
  </si>
  <si>
    <t>Adani</t>
  </si>
  <si>
    <t>Surf Excel 1kg</t>
  </si>
  <si>
    <t>Detergent</t>
  </si>
  <si>
    <t>HUL</t>
  </si>
  <si>
    <t>Ariel Matic 1kg</t>
  </si>
  <si>
    <t>P&amp;G</t>
  </si>
  <si>
    <t>Tata Tea Premium 250g</t>
  </si>
  <si>
    <t>Tea/Coffee</t>
  </si>
  <si>
    <t>Tata</t>
  </si>
  <si>
    <t>Bru Coffee 200g</t>
  </si>
  <si>
    <t>Haldiram's Mixture 1kg</t>
  </si>
  <si>
    <t>Namkeen</t>
  </si>
  <si>
    <t>Haldiram's</t>
  </si>
  <si>
    <t>Maggi Masala 70g x 6pk</t>
  </si>
  <si>
    <t>Noodles</t>
  </si>
  <si>
    <t>Nestle</t>
  </si>
  <si>
    <t>Head &amp; Shoulders 180ml</t>
  </si>
  <si>
    <t>Hair Care</t>
  </si>
  <si>
    <t>Colgate Total 150g</t>
  </si>
  <si>
    <t>Oral Care</t>
  </si>
  <si>
    <t>Colgate</t>
  </si>
  <si>
    <t>Haldiram's Aloo Bhujia 400g</t>
  </si>
  <si>
    <t>Lifebuoy Soap 125g</t>
  </si>
  <si>
    <t>Soap</t>
  </si>
  <si>
    <t>Haldiram's Sev 500g</t>
  </si>
  <si>
    <t>Pepsodent 200g</t>
  </si>
  <si>
    <t>Dabur Real Juice 1L Mango</t>
  </si>
  <si>
    <t>Beverages</t>
  </si>
  <si>
    <t>Dabur</t>
  </si>
  <si>
    <t>Clinic Plus Shampoo 175ml</t>
  </si>
  <si>
    <t>Dabur Real Juice 1L Orange</t>
  </si>
  <si>
    <t>Harpic 500ml</t>
  </si>
  <si>
    <t>Homecare</t>
  </si>
  <si>
    <t>Reckitt</t>
  </si>
  <si>
    <t>Tata Salt 1kg</t>
  </si>
  <si>
    <t>Lizol 500ml</t>
  </si>
  <si>
    <t>Parle-G 250g</t>
  </si>
  <si>
    <t>Biscuits</t>
  </si>
  <si>
    <t>Parle</t>
  </si>
  <si>
    <t>Britannia Good Day 150g</t>
  </si>
  <si>
    <t>Britannia</t>
  </si>
  <si>
    <t>Britannia Marie Gold 250g</t>
  </si>
  <si>
    <t>Haldiram's Moong Dal 200g</t>
  </si>
  <si>
    <t>Vim Bar 200g</t>
  </si>
  <si>
    <t>Frooti Tetra 200ml</t>
  </si>
  <si>
    <t>Maggi Noodles 70g</t>
  </si>
  <si>
    <t>Parle Hide &amp; Seek 100g</t>
  </si>
  <si>
    <t>Maggi Oats Noodles 75g</t>
  </si>
  <si>
    <t>Haldiram's Paneer Tikka 60g</t>
  </si>
  <si>
    <t>Snacks</t>
  </si>
  <si>
    <t>COST BUDGET vs ACTUAL — FY 2024</t>
  </si>
  <si>
    <t>Monthly OpEx Variance Analysis  |  Shreenath Agro &amp; FMCG Distributors</t>
  </si>
  <si>
    <t>💰 TOTAL ACTUAL OPEX</t>
  </si>
  <si>
    <t>📋 TOTAL BUDGET</t>
  </si>
  <si>
    <t>📊 ANNUAL VARIANCE ₹</t>
  </si>
  <si>
    <t>📈 VARIANCE %</t>
  </si>
  <si>
    <t>📦 MONTHS OVER BUDGET</t>
  </si>
  <si>
    <t>✅ MONTHS UNDER BUDGET</t>
  </si>
  <si>
    <t>⚖️ STATUS</t>
  </si>
  <si>
    <t>Cost Category</t>
  </si>
  <si>
    <t>Budget (₹)</t>
  </si>
  <si>
    <t>Actual (₹)</t>
  </si>
  <si>
    <t>Variance (₹)</t>
  </si>
  <si>
    <t>Variance %</t>
  </si>
  <si>
    <t>Flag</t>
  </si>
  <si>
    <t>cost_category</t>
  </si>
  <si>
    <t>budget_inr</t>
  </si>
  <si>
    <t>actual_inr</t>
  </si>
  <si>
    <t>variance_inr</t>
  </si>
  <si>
    <t>variance_pct</t>
  </si>
  <si>
    <t>flag</t>
  </si>
  <si>
    <t>Salaries &amp; Wages</t>
  </si>
  <si>
    <t>On Track</t>
  </si>
  <si>
    <t>Vehicle Fuel &amp; Maintenance</t>
  </si>
  <si>
    <t>Over Budget</t>
  </si>
  <si>
    <t>Depot Rent &amp; Utilities</t>
  </si>
  <si>
    <t>Sales Incentives</t>
  </si>
  <si>
    <t>Packaging &amp; Labelling</t>
  </si>
  <si>
    <t>Warehouse Operations</t>
  </si>
  <si>
    <t>Under Budget</t>
  </si>
  <si>
    <t>Office &amp; Admin</t>
  </si>
  <si>
    <t>Communication &amp; IT</t>
  </si>
  <si>
    <t>Insurance &amp; Compliance</t>
  </si>
  <si>
    <t>Miscellaneous</t>
  </si>
  <si>
    <t>SALES REP PERFORMANCE SCORECARD — FY 2024</t>
  </si>
  <si>
    <t>Individual Performance vs Target  |  All Regions  |  FY 2024</t>
  </si>
  <si>
    <t>👥 TOTAL REPS</t>
  </si>
  <si>
    <t>📦 TOTAL SALES</t>
  </si>
  <si>
    <t>🏆 AVG ACHIEVEMENT %</t>
  </si>
  <si>
    <t>🥇 TOP REP</t>
  </si>
  <si>
    <t>🔴 REPS BELOW 90%</t>
  </si>
  <si>
    <t>✅ REPS ON TARGET</t>
  </si>
  <si>
    <t>💰 TOTAL GROSS PROFIT</t>
  </si>
  <si>
    <t>📋 TOTAL INVOICES</t>
  </si>
  <si>
    <t>Rep Name</t>
  </si>
  <si>
    <t>Region</t>
  </si>
  <si>
    <t>Net Sales (₹)</t>
  </si>
  <si>
    <t>Annual Target (₹)</t>
  </si>
  <si>
    <t>Units Sold</t>
  </si>
  <si>
    <t>Invoices</t>
  </si>
  <si>
    <t>Rank</t>
  </si>
  <si>
    <t>TEAM TOTAL</t>
  </si>
  <si>
    <t>rep_id</t>
  </si>
  <si>
    <t>rep_name</t>
  </si>
  <si>
    <t>region</t>
  </si>
  <si>
    <t>Total_Net_Sales</t>
  </si>
  <si>
    <t>Total_Units</t>
  </si>
  <si>
    <t>Total_Gross_Profit</t>
  </si>
  <si>
    <t>Total_Invoices</t>
  </si>
  <si>
    <t>Annual_Target</t>
  </si>
  <si>
    <t>Achievement_%</t>
  </si>
  <si>
    <t>SR02</t>
  </si>
  <si>
    <t>Ravi Deshmukh</t>
  </si>
  <si>
    <t>Nagpur East</t>
  </si>
  <si>
    <t>SR03</t>
  </si>
  <si>
    <t>Sanjay Bhagat</t>
  </si>
  <si>
    <t>Nagpur West</t>
  </si>
  <si>
    <t>SR01</t>
  </si>
  <si>
    <t>Amit Tiwari</t>
  </si>
  <si>
    <t>Nagpur Central</t>
  </si>
  <si>
    <t>SR07</t>
  </si>
  <si>
    <t>Nitin Wankhede</t>
  </si>
  <si>
    <t>Amravati</t>
  </si>
  <si>
    <t>SR10</t>
  </si>
  <si>
    <t>Rahul Chaudhary</t>
  </si>
  <si>
    <t>Buldhana</t>
  </si>
  <si>
    <t>SR06</t>
  </si>
  <si>
    <t>Suresh Korde</t>
  </si>
  <si>
    <t>Yavatmal</t>
  </si>
  <si>
    <t>SR09</t>
  </si>
  <si>
    <t>Mahesh Borkar</t>
  </si>
  <si>
    <t>Akola</t>
  </si>
  <si>
    <t>SR05</t>
  </si>
  <si>
    <t>Deepak Pande</t>
  </si>
  <si>
    <t>Wardha</t>
  </si>
  <si>
    <t>WEEKLY MIS SUMMARY — AUTO-GENERATED MANAGEMENT REPORT  |  FY 2024</t>
  </si>
  <si>
    <t xml:space="preserve">  📊  SECTION 1 — SALES PERFORMANCE</t>
  </si>
  <si>
    <t>YTD Net Sales</t>
  </si>
  <si>
    <t>Sum of all 12 months</t>
  </si>
  <si>
    <t>YTD Sales Target</t>
  </si>
  <si>
    <t>Sum of all monthly targets</t>
  </si>
  <si>
    <t>YTD Achievement %</t>
  </si>
  <si>
    <t>Actual / Target × 100</t>
  </si>
  <si>
    <t>YTD Gross Profit</t>
  </si>
  <si>
    <t>Revenue minus COGS</t>
  </si>
  <si>
    <t>YTD GP Margin %</t>
  </si>
  <si>
    <t>Gross Profit / Net Sales × 100</t>
  </si>
  <si>
    <t>Best Sales Month</t>
  </si>
  <si>
    <t>Month with highest net sales</t>
  </si>
  <si>
    <t>Highest Monthly Sales</t>
  </si>
  <si>
    <t>Peak month revenue</t>
  </si>
  <si>
    <t>Lowest Monthly Sales</t>
  </si>
  <si>
    <t>Lowest month revenue</t>
  </si>
  <si>
    <t>Sales Exception Flag</t>
  </si>
  <si>
    <t>Auto-generated alert</t>
  </si>
  <si>
    <t xml:space="preserve">  📦  SECTION 2 — INVENTORY &amp; OPERATIONS</t>
  </si>
  <si>
    <t>Total GRN Units</t>
  </si>
  <si>
    <t>Total goods received</t>
  </si>
  <si>
    <t>Total Issued Units</t>
  </si>
  <si>
    <t>Total dispatched to market</t>
  </si>
  <si>
    <t>Total Damage Units</t>
  </si>
  <si>
    <t>Damaged / expired units</t>
  </si>
  <si>
    <t>Damage / GRN × 100</t>
  </si>
  <si>
    <t>Total Dispatch Trips</t>
  </si>
  <si>
    <t>All depot trips FY 2024</t>
  </si>
  <si>
    <t>On-Time Deliveries</t>
  </si>
  <si>
    <t>Trips delivered on time</t>
  </si>
  <si>
    <t>Average OTD %</t>
  </si>
  <si>
    <t>On-Time Delivery rate</t>
  </si>
  <si>
    <t>OTD Exception Flag</t>
  </si>
  <si>
    <t xml:space="preserve">  💰  SECTION 3 — COST &amp; PROFITABILITY</t>
  </si>
  <si>
    <t>Total Actual OpEx</t>
  </si>
  <si>
    <t>All operating expenses FY 2024</t>
  </si>
  <si>
    <t>Total OpEx Budget</t>
  </si>
  <si>
    <t>Annual budget</t>
  </si>
  <si>
    <t>OpEx Variance (₹)</t>
  </si>
  <si>
    <t>Actual minus Budget</t>
  </si>
  <si>
    <t>OpEx Variance %</t>
  </si>
  <si>
    <t>Variance / Budget × 100</t>
  </si>
  <si>
    <t>Months Over Budget</t>
  </si>
  <si>
    <t>Count of over-budget months</t>
  </si>
  <si>
    <t>Months Under Budget</t>
  </si>
  <si>
    <t>Count of under-budget months</t>
  </si>
  <si>
    <t>Cost Exception Flag</t>
  </si>
  <si>
    <t xml:space="preserve">  👤  SECTION 4 — SALES REP HIGHLIGHTS</t>
  </si>
  <si>
    <t>Top Performing Rep</t>
  </si>
  <si>
    <t>Highest net sales</t>
  </si>
  <si>
    <t>Top Rep Net Sales</t>
  </si>
  <si>
    <t>Team Avg Achievement %</t>
  </si>
  <si>
    <t>Full team average</t>
  </si>
  <si>
    <t>Reps Below 90% Target</t>
  </si>
  <si>
    <t>Needs attention</t>
  </si>
  <si>
    <t>Reps At/Above 95% Target</t>
  </si>
  <si>
    <t>On track</t>
  </si>
  <si>
    <t xml:space="preserve">  🚨  SECTION 5 — EXCEPTION ALERTS DASHBOARD</t>
  </si>
  <si>
    <t>Sales Achievement Alert</t>
  </si>
  <si>
    <t>OTD Performance Alert</t>
  </si>
  <si>
    <t>OpEx Budget Alert</t>
  </si>
  <si>
    <t>Damage Rate Alert</t>
  </si>
  <si>
    <t>Team Performance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</si>
</sst>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\₹#,##0"/>
    <numFmt numFmtId="165" formatCode="0.0\%"/>
    <numFmt numFmtId="166" formatCode="_ * #,##0_ ;_ * \-#,##0_ ;_ * &quot;-&quot;??_ ;_ @_ "/>
  </numFmts>
  <fonts count="1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sz val="10"/>
      <color rgb="FF333333"/>
      <name val="Arial"/>
      <family val="2"/>
    </font>
    <font>
      <b/>
      <sz val="9"/>
      <color rgb="FFFFFFFF"/>
      <name val="Arial"/>
      <family val="2"/>
    </font>
    <font>
      <b/>
      <sz val="14"/>
      <color rgb="FF1F3864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16"/>
      <color rgb="FFFFFFFF"/>
      <name val="Arial"/>
      <family val="2"/>
    </font>
    <font>
      <b/>
      <sz val="11"/>
      <color rgb="FF333333"/>
      <name val="Arial"/>
      <family val="2"/>
    </font>
    <font>
      <b/>
      <sz val="10"/>
      <color rgb="FF333333"/>
      <name val="Arial"/>
      <family val="2"/>
    </font>
    <font>
      <b/>
      <sz val="11"/>
      <color rgb="FF1F3864"/>
      <name val="Arial"/>
      <family val="2"/>
    </font>
    <font>
      <i/>
      <sz val="9"/>
      <color rgb="FF666666"/>
      <name val="Arial"/>
      <family val="2"/>
    </font>
    <font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A237E"/>
      </patternFill>
    </fill>
    <fill>
      <patternFill patternType="solid">
        <fgColor rgb="FFEBF3FB"/>
        <bgColor rgb="FFF4F6F9"/>
      </patternFill>
    </fill>
    <fill>
      <patternFill patternType="solid">
        <fgColor rgb="FF2E4A8A"/>
        <bgColor rgb="FF1F3864"/>
      </patternFill>
    </fill>
    <fill>
      <patternFill patternType="solid">
        <fgColor rgb="FF1B5E20"/>
        <bgColor rgb="FF004D40"/>
      </patternFill>
    </fill>
    <fill>
      <patternFill patternType="solid">
        <fgColor rgb="FFB71C1C"/>
        <bgColor rgb="FF993366"/>
      </patternFill>
    </fill>
    <fill>
      <patternFill patternType="solid">
        <fgColor rgb="FF1A237E"/>
        <bgColor rgb="FF1F3864"/>
      </patternFill>
    </fill>
    <fill>
      <patternFill patternType="solid">
        <fgColor rgb="FF4A148C"/>
        <bgColor rgb="FF1A237E"/>
      </patternFill>
    </fill>
    <fill>
      <patternFill patternType="solid">
        <fgColor rgb="FF004D40"/>
        <bgColor rgb="FF1B5E20"/>
      </patternFill>
    </fill>
    <fill>
      <patternFill patternType="solid">
        <fgColor rgb="FFE65100"/>
        <bgColor rgb="FFB71C1C"/>
      </patternFill>
    </fill>
    <fill>
      <patternFill patternType="solid">
        <fgColor rgb="FFF4F6F9"/>
        <bgColor rgb="FFEBF3FB"/>
      </patternFill>
    </fill>
    <fill>
      <patternFill patternType="solid">
        <fgColor rgb="FFFFFFFF"/>
        <bgColor rgb="FFF4F6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3" fontId="1" fillId="0" borderId="0" applyBorder="0" applyAlignment="0" applyProtection="0"/>
    <xf numFmtId="9" fontId="14" fillId="0" borderId="0" applyFont="0" applyFill="0" applyBorder="0" applyAlignment="0" applyProtection="0"/>
  </cellStyleXfs>
  <cellXfs count="47">
    <xf numFmtId="0" fontId="0" fillId="0" borderId="0" xfId="0"/>
    <xf numFmtId="0" fontId="12" fillId="1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164" fontId="7" fillId="12" borderId="1" xfId="0" applyNumberFormat="1" applyFont="1" applyFill="1" applyBorder="1" applyAlignment="1">
      <alignment horizontal="center" vertical="center"/>
    </xf>
    <xf numFmtId="165" fontId="7" fillId="12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3" fontId="7" fillId="11" borderId="1" xfId="0" applyNumberFormat="1" applyFont="1" applyFill="1" applyBorder="1" applyAlignment="1">
      <alignment horizontal="center" vertical="center"/>
    </xf>
    <xf numFmtId="3" fontId="7" fillId="12" borderId="1" xfId="0" applyNumberFormat="1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164" fontId="12" fillId="12" borderId="1" xfId="0" applyNumberFormat="1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/>
    </xf>
    <xf numFmtId="165" fontId="12" fillId="12" borderId="1" xfId="0" applyNumberFormat="1" applyFont="1" applyFill="1" applyBorder="1" applyAlignment="1">
      <alignment horizontal="center" vertical="center"/>
    </xf>
    <xf numFmtId="3" fontId="12" fillId="12" borderId="1" xfId="0" applyNumberFormat="1" applyFont="1" applyFill="1" applyBorder="1" applyAlignment="1">
      <alignment horizontal="center" vertical="center"/>
    </xf>
    <xf numFmtId="166" fontId="1" fillId="0" borderId="1" xfId="1" applyNumberFormat="1" applyBorder="1" applyAlignment="1">
      <alignment horizontal="center" vertical="center"/>
    </xf>
    <xf numFmtId="10" fontId="7" fillId="11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2" fontId="5" fillId="3" borderId="1" xfId="2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9">
    <dxf>
      <fill>
        <patternFill>
          <bgColor rgb="FFC6EFCE"/>
        </patternFill>
      </fill>
    </dxf>
    <dxf>
      <fill>
        <patternFill>
          <bgColor rgb="FFFFF9C4"/>
        </patternFill>
      </fill>
    </dxf>
    <dxf>
      <fill>
        <patternFill>
          <bgColor rgb="FFFFDDD2"/>
        </patternFill>
      </fill>
    </dxf>
    <dxf>
      <fill>
        <patternFill>
          <bgColor rgb="FFC6EFCE"/>
        </patternFill>
      </fill>
    </dxf>
    <dxf>
      <fill>
        <patternFill>
          <bgColor rgb="FFFFDDD2"/>
        </patternFill>
      </fill>
    </dxf>
    <dxf>
      <fill>
        <patternFill>
          <bgColor rgb="FFC6EFCE"/>
        </patternFill>
      </fill>
    </dxf>
    <dxf>
      <fill>
        <patternFill>
          <bgColor rgb="FFFFDDD2"/>
        </patternFill>
      </fill>
    </dxf>
    <dxf>
      <fill>
        <patternFill>
          <bgColor rgb="FFC6EFCE"/>
        </patternFill>
      </fill>
    </dxf>
    <dxf>
      <fill>
        <patternFill>
          <bgColor rgb="FFFFD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1A237E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BF3FB"/>
      <rgbColor rgb="FF4A148C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4F6F9"/>
      <rgbColor rgb="FF99CCFF"/>
      <rgbColor rgb="FFFF99CC"/>
      <rgbColor rgb="FFCC99FF"/>
      <rgbColor rgb="FFFFDDD2"/>
      <rgbColor rgb="FF3366FF"/>
      <rgbColor rgb="FF33CCCC"/>
      <rgbColor rgb="FF99CC00"/>
      <rgbColor rgb="FFFFCC00"/>
      <rgbColor rgb="FFFF9900"/>
      <rgbColor rgb="FFE65100"/>
      <rgbColor rgb="FF666666"/>
      <rgbColor rgb="FF969696"/>
      <rgbColor rgb="FF1F3864"/>
      <rgbColor rgb="FF339966"/>
      <rgbColor rgb="FF004D40"/>
      <rgbColor rgb="FF333300"/>
      <rgbColor rgb="FFB71C1C"/>
      <rgbColor rgb="FF993366"/>
      <rgbColor rgb="FF2E4A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zoomScaleNormal="100" workbookViewId="0"/>
  </sheetViews>
  <sheetFormatPr defaultColWidth="8.6640625" defaultRowHeight="14.4" x14ac:dyDescent="0.3"/>
  <sheetData>
    <row r="1" spans="1:19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" customHeight="1" x14ac:dyDescent="0.3">
      <c r="A2">
        <v>1</v>
      </c>
      <c r="B2" t="s">
        <v>19</v>
      </c>
      <c r="C2">
        <v>4218747</v>
      </c>
      <c r="D2">
        <v>1435282</v>
      </c>
      <c r="E2">
        <v>34</v>
      </c>
      <c r="F2">
        <v>4534552</v>
      </c>
      <c r="G2">
        <v>93</v>
      </c>
      <c r="H2">
        <v>1511305</v>
      </c>
      <c r="I2">
        <v>1438800</v>
      </c>
      <c r="J2">
        <v>5</v>
      </c>
      <c r="K2">
        <v>214939</v>
      </c>
      <c r="L2">
        <v>207847</v>
      </c>
      <c r="M2">
        <v>1685</v>
      </c>
      <c r="N2">
        <v>109</v>
      </c>
      <c r="O2">
        <v>92</v>
      </c>
      <c r="P2">
        <v>84.4</v>
      </c>
      <c r="Q2">
        <v>816</v>
      </c>
      <c r="R2">
        <v>35</v>
      </c>
      <c r="S2">
        <v>30</v>
      </c>
    </row>
    <row r="3" spans="1:19" ht="15" customHeight="1" x14ac:dyDescent="0.3">
      <c r="A3">
        <v>2</v>
      </c>
      <c r="B3" t="s">
        <v>20</v>
      </c>
      <c r="C3">
        <v>3961742</v>
      </c>
      <c r="D3">
        <v>1346950</v>
      </c>
      <c r="E3">
        <v>34</v>
      </c>
      <c r="F3">
        <v>4328436</v>
      </c>
      <c r="G3">
        <v>91.5</v>
      </c>
      <c r="H3">
        <v>1384117</v>
      </c>
      <c r="I3">
        <v>1373400</v>
      </c>
      <c r="J3">
        <v>0.8</v>
      </c>
      <c r="K3">
        <v>208754</v>
      </c>
      <c r="L3">
        <v>200965</v>
      </c>
      <c r="M3">
        <v>1407</v>
      </c>
      <c r="N3">
        <v>110</v>
      </c>
      <c r="O3">
        <v>94</v>
      </c>
      <c r="P3">
        <v>85.5</v>
      </c>
      <c r="Q3">
        <v>778</v>
      </c>
      <c r="R3">
        <v>35</v>
      </c>
      <c r="S3">
        <v>30</v>
      </c>
    </row>
    <row r="4" spans="1:19" ht="15" customHeight="1" x14ac:dyDescent="0.3">
      <c r="A4">
        <v>3</v>
      </c>
      <c r="B4" t="s">
        <v>21</v>
      </c>
      <c r="C4">
        <v>4348825</v>
      </c>
      <c r="D4">
        <v>1477494</v>
      </c>
      <c r="E4">
        <v>34</v>
      </c>
      <c r="F4">
        <v>4740668</v>
      </c>
      <c r="G4">
        <v>91.7</v>
      </c>
      <c r="H4">
        <v>1523159</v>
      </c>
      <c r="I4">
        <v>1504200</v>
      </c>
      <c r="J4">
        <v>1.3</v>
      </c>
      <c r="K4">
        <v>225184</v>
      </c>
      <c r="L4">
        <v>219143</v>
      </c>
      <c r="M4">
        <v>1678</v>
      </c>
      <c r="N4">
        <v>110</v>
      </c>
      <c r="O4">
        <v>92</v>
      </c>
      <c r="P4">
        <v>83.6</v>
      </c>
      <c r="Q4">
        <v>762</v>
      </c>
      <c r="R4">
        <v>35</v>
      </c>
      <c r="S4">
        <v>30</v>
      </c>
    </row>
    <row r="5" spans="1:19" ht="15" customHeight="1" x14ac:dyDescent="0.3">
      <c r="A5">
        <v>4</v>
      </c>
      <c r="B5" t="s">
        <v>22</v>
      </c>
      <c r="C5">
        <v>4984264</v>
      </c>
      <c r="D5">
        <v>1698341</v>
      </c>
      <c r="E5">
        <v>34.1</v>
      </c>
      <c r="F5">
        <v>5410545</v>
      </c>
      <c r="G5">
        <v>92.1</v>
      </c>
      <c r="H5">
        <v>1756110</v>
      </c>
      <c r="I5">
        <v>1716750</v>
      </c>
      <c r="J5">
        <v>2.2999999999999998</v>
      </c>
      <c r="K5">
        <v>257000</v>
      </c>
      <c r="L5">
        <v>248721</v>
      </c>
      <c r="M5">
        <v>2026</v>
      </c>
      <c r="N5">
        <v>123</v>
      </c>
      <c r="O5">
        <v>107</v>
      </c>
      <c r="P5">
        <v>87</v>
      </c>
      <c r="Q5">
        <v>778</v>
      </c>
      <c r="R5">
        <v>35</v>
      </c>
      <c r="S5">
        <v>30</v>
      </c>
    </row>
    <row r="6" spans="1:19" ht="15" customHeight="1" x14ac:dyDescent="0.3">
      <c r="A6">
        <v>5</v>
      </c>
      <c r="B6" t="s">
        <v>23</v>
      </c>
      <c r="C6">
        <v>5091131</v>
      </c>
      <c r="D6">
        <v>1734436</v>
      </c>
      <c r="E6">
        <v>34.1</v>
      </c>
      <c r="F6">
        <v>5668190</v>
      </c>
      <c r="G6">
        <v>89.8</v>
      </c>
      <c r="H6">
        <v>1820473</v>
      </c>
      <c r="I6">
        <v>1798500</v>
      </c>
      <c r="J6">
        <v>1.2</v>
      </c>
      <c r="K6">
        <v>269108</v>
      </c>
      <c r="L6">
        <v>259756</v>
      </c>
      <c r="M6">
        <v>1943</v>
      </c>
      <c r="N6">
        <v>126</v>
      </c>
      <c r="O6">
        <v>109</v>
      </c>
      <c r="P6">
        <v>86.5</v>
      </c>
      <c r="Q6">
        <v>779</v>
      </c>
      <c r="R6">
        <v>35</v>
      </c>
      <c r="S6">
        <v>30</v>
      </c>
    </row>
    <row r="7" spans="1:19" ht="15" customHeight="1" x14ac:dyDescent="0.3">
      <c r="A7">
        <v>6</v>
      </c>
      <c r="B7" t="s">
        <v>24</v>
      </c>
      <c r="C7">
        <v>5151644</v>
      </c>
      <c r="D7">
        <v>1755466</v>
      </c>
      <c r="E7">
        <v>34.1</v>
      </c>
      <c r="F7">
        <v>5565132</v>
      </c>
      <c r="G7">
        <v>92.6</v>
      </c>
      <c r="H7">
        <v>1789992</v>
      </c>
      <c r="I7">
        <v>1765800</v>
      </c>
      <c r="J7">
        <v>1.4</v>
      </c>
      <c r="K7">
        <v>264598</v>
      </c>
      <c r="L7">
        <v>253969</v>
      </c>
      <c r="M7">
        <v>1881</v>
      </c>
      <c r="N7">
        <v>116</v>
      </c>
      <c r="O7">
        <v>106</v>
      </c>
      <c r="P7">
        <v>91.4</v>
      </c>
      <c r="Q7">
        <v>792</v>
      </c>
      <c r="R7">
        <v>35</v>
      </c>
      <c r="S7">
        <v>30</v>
      </c>
    </row>
    <row r="8" spans="1:19" ht="15" customHeight="1" x14ac:dyDescent="0.3">
      <c r="A8">
        <v>7</v>
      </c>
      <c r="B8" t="s">
        <v>25</v>
      </c>
      <c r="C8">
        <v>4722487</v>
      </c>
      <c r="D8">
        <v>1610196</v>
      </c>
      <c r="E8">
        <v>34.1</v>
      </c>
      <c r="F8">
        <v>4895255</v>
      </c>
      <c r="G8">
        <v>96.5</v>
      </c>
      <c r="H8">
        <v>1558429</v>
      </c>
      <c r="I8">
        <v>1553250</v>
      </c>
      <c r="J8">
        <v>0.3</v>
      </c>
      <c r="K8">
        <v>233892</v>
      </c>
      <c r="L8">
        <v>225555</v>
      </c>
      <c r="M8">
        <v>1668</v>
      </c>
      <c r="N8">
        <v>114</v>
      </c>
      <c r="O8">
        <v>100</v>
      </c>
      <c r="P8">
        <v>87.7</v>
      </c>
      <c r="Q8">
        <v>830</v>
      </c>
      <c r="R8">
        <v>35</v>
      </c>
      <c r="S8">
        <v>30</v>
      </c>
    </row>
    <row r="9" spans="1:19" ht="15" customHeight="1" x14ac:dyDescent="0.3">
      <c r="A9">
        <v>8</v>
      </c>
      <c r="B9" t="s">
        <v>26</v>
      </c>
      <c r="C9">
        <v>4709355</v>
      </c>
      <c r="D9">
        <v>1611894</v>
      </c>
      <c r="E9">
        <v>34.200000000000003</v>
      </c>
      <c r="F9">
        <v>4998313</v>
      </c>
      <c r="G9">
        <v>94.2</v>
      </c>
      <c r="H9">
        <v>1639159</v>
      </c>
      <c r="I9">
        <v>1585950</v>
      </c>
      <c r="J9">
        <v>3.4</v>
      </c>
      <c r="K9">
        <v>238114</v>
      </c>
      <c r="L9">
        <v>231442</v>
      </c>
      <c r="M9">
        <v>1545</v>
      </c>
      <c r="N9">
        <v>111</v>
      </c>
      <c r="O9">
        <v>94</v>
      </c>
      <c r="P9">
        <v>84.7</v>
      </c>
      <c r="Q9">
        <v>765</v>
      </c>
      <c r="R9">
        <v>35</v>
      </c>
      <c r="S9">
        <v>30</v>
      </c>
    </row>
    <row r="10" spans="1:19" ht="15" customHeight="1" x14ac:dyDescent="0.3">
      <c r="A10">
        <v>9</v>
      </c>
      <c r="B10" t="s">
        <v>27</v>
      </c>
      <c r="C10">
        <v>4823787</v>
      </c>
      <c r="D10">
        <v>1636204</v>
      </c>
      <c r="E10">
        <v>33.9</v>
      </c>
      <c r="F10">
        <v>5152900</v>
      </c>
      <c r="G10">
        <v>93.6</v>
      </c>
      <c r="H10">
        <v>1584320</v>
      </c>
      <c r="I10">
        <v>1635000</v>
      </c>
      <c r="J10">
        <v>-3.1</v>
      </c>
      <c r="K10">
        <v>245240</v>
      </c>
      <c r="L10">
        <v>236764</v>
      </c>
      <c r="M10">
        <v>1805</v>
      </c>
      <c r="N10">
        <v>123</v>
      </c>
      <c r="O10">
        <v>99</v>
      </c>
      <c r="P10">
        <v>80.5</v>
      </c>
      <c r="Q10">
        <v>793</v>
      </c>
      <c r="R10">
        <v>35</v>
      </c>
      <c r="S10">
        <v>30</v>
      </c>
    </row>
    <row r="11" spans="1:19" ht="15" customHeight="1" x14ac:dyDescent="0.3">
      <c r="A11">
        <v>10</v>
      </c>
      <c r="B11" t="s">
        <v>28</v>
      </c>
      <c r="C11">
        <v>5731787</v>
      </c>
      <c r="D11">
        <v>1954672</v>
      </c>
      <c r="E11">
        <v>34.1</v>
      </c>
      <c r="F11">
        <v>6080422</v>
      </c>
      <c r="G11">
        <v>94.3</v>
      </c>
      <c r="H11">
        <v>1921428</v>
      </c>
      <c r="I11">
        <v>1929300</v>
      </c>
      <c r="J11">
        <v>-0.4</v>
      </c>
      <c r="K11">
        <v>288651</v>
      </c>
      <c r="L11">
        <v>276458</v>
      </c>
      <c r="M11">
        <v>2192</v>
      </c>
      <c r="N11">
        <v>107</v>
      </c>
      <c r="O11">
        <v>91</v>
      </c>
      <c r="P11">
        <v>85</v>
      </c>
      <c r="Q11">
        <v>791</v>
      </c>
      <c r="R11">
        <v>35</v>
      </c>
      <c r="S11">
        <v>30</v>
      </c>
    </row>
    <row r="12" spans="1:19" ht="15" customHeight="1" x14ac:dyDescent="0.3">
      <c r="A12">
        <v>11</v>
      </c>
      <c r="B12" t="s">
        <v>29</v>
      </c>
      <c r="C12">
        <v>5872524</v>
      </c>
      <c r="D12">
        <v>1998563</v>
      </c>
      <c r="E12">
        <v>34</v>
      </c>
      <c r="F12">
        <v>6286538</v>
      </c>
      <c r="G12">
        <v>93.4</v>
      </c>
      <c r="H12">
        <v>2064848</v>
      </c>
      <c r="I12">
        <v>1994700</v>
      </c>
      <c r="J12">
        <v>3.5</v>
      </c>
      <c r="K12">
        <v>299758</v>
      </c>
      <c r="L12">
        <v>286876</v>
      </c>
      <c r="M12">
        <v>2276</v>
      </c>
      <c r="N12">
        <v>118</v>
      </c>
      <c r="O12">
        <v>101</v>
      </c>
      <c r="P12">
        <v>85.6</v>
      </c>
      <c r="Q12">
        <v>799</v>
      </c>
      <c r="R12">
        <v>35</v>
      </c>
      <c r="S12">
        <v>30</v>
      </c>
    </row>
    <row r="13" spans="1:19" ht="15" customHeight="1" x14ac:dyDescent="0.3">
      <c r="A13">
        <v>12</v>
      </c>
      <c r="B13" t="s">
        <v>30</v>
      </c>
      <c r="C13">
        <v>4931100</v>
      </c>
      <c r="D13">
        <v>1682741</v>
      </c>
      <c r="E13">
        <v>34.1</v>
      </c>
      <c r="F13">
        <v>5410545</v>
      </c>
      <c r="G13">
        <v>91.1</v>
      </c>
      <c r="H13">
        <v>1770972</v>
      </c>
      <c r="I13">
        <v>1716750</v>
      </c>
      <c r="J13">
        <v>3.2</v>
      </c>
      <c r="K13">
        <v>256200</v>
      </c>
      <c r="L13">
        <v>248112</v>
      </c>
      <c r="M13">
        <v>1853</v>
      </c>
      <c r="N13">
        <v>109</v>
      </c>
      <c r="O13">
        <v>89</v>
      </c>
      <c r="P13">
        <v>81.7</v>
      </c>
      <c r="Q13">
        <v>737</v>
      </c>
      <c r="R13">
        <v>35</v>
      </c>
      <c r="S13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I20"/>
  <sheetViews>
    <sheetView showGridLines="0" zoomScale="85" zoomScaleNormal="85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K5" sqref="K5"/>
    </sheetView>
  </sheetViews>
  <sheetFormatPr defaultColWidth="8.6640625" defaultRowHeight="14.4" x14ac:dyDescent="0.3"/>
  <cols>
    <col min="1" max="1" width="5" customWidth="1"/>
    <col min="2" max="2" width="20.33203125" customWidth="1"/>
    <col min="3" max="5" width="18" customWidth="1"/>
    <col min="6" max="6" width="23.6640625" customWidth="1"/>
    <col min="7" max="7" width="19.88671875" customWidth="1"/>
    <col min="8" max="8" width="21" customWidth="1"/>
    <col min="9" max="9" width="23.21875" customWidth="1"/>
  </cols>
  <sheetData>
    <row r="1" spans="1:9" ht="31.5" customHeight="1" x14ac:dyDescent="0.3">
      <c r="A1" s="44" t="s">
        <v>31</v>
      </c>
      <c r="B1" s="44"/>
      <c r="C1" s="44"/>
      <c r="D1" s="44"/>
      <c r="E1" s="44"/>
      <c r="F1" s="44"/>
      <c r="G1" s="44"/>
      <c r="H1" s="44"/>
      <c r="I1" s="44"/>
    </row>
    <row r="2" spans="1:9" ht="19.5" customHeight="1" x14ac:dyDescent="0.3">
      <c r="A2" s="45" t="s">
        <v>32</v>
      </c>
      <c r="B2" s="45"/>
      <c r="C2" s="45"/>
      <c r="D2" s="45"/>
      <c r="E2" s="45"/>
      <c r="F2" s="45"/>
      <c r="G2" s="45"/>
      <c r="H2" s="45"/>
      <c r="I2" s="45"/>
    </row>
    <row r="3" spans="1:9" ht="7.5" customHeight="1" x14ac:dyDescent="0.3"/>
    <row r="4" spans="1:9" ht="21.75" customHeight="1" x14ac:dyDescent="0.3">
      <c r="B4" s="2" t="s">
        <v>33</v>
      </c>
      <c r="C4" s="3" t="s">
        <v>34</v>
      </c>
      <c r="D4" s="4" t="s">
        <v>35</v>
      </c>
      <c r="E4" s="5" t="s">
        <v>36</v>
      </c>
      <c r="F4" s="6" t="s">
        <v>37</v>
      </c>
      <c r="G4" s="7" t="s">
        <v>38</v>
      </c>
      <c r="H4" s="8" t="s">
        <v>39</v>
      </c>
    </row>
    <row r="5" spans="1:9" ht="30" customHeight="1" x14ac:dyDescent="0.3">
      <c r="B5" s="10">
        <f>SUM(DATA_KPI!C2:C13)</f>
        <v>58547393</v>
      </c>
      <c r="C5" s="10">
        <f>SUM(DATA_KPI!F2:F13)</f>
        <v>63071496</v>
      </c>
      <c r="D5" s="11">
        <f>E20</f>
        <v>92.827024429545801</v>
      </c>
      <c r="E5" s="10">
        <f>SUM(DATA_KPI!D2:D13)</f>
        <v>19942239</v>
      </c>
      <c r="F5" s="39">
        <f>G20</f>
        <v>34.061702798619912</v>
      </c>
      <c r="G5" s="10">
        <f>SUM(DATA_KPI!H2:H13)</f>
        <v>20324312</v>
      </c>
      <c r="H5" s="10">
        <f>SUM(DATA_KPI!I2:I13)</f>
        <v>20012400</v>
      </c>
    </row>
    <row r="6" spans="1:9" ht="7.5" customHeight="1" x14ac:dyDescent="0.3"/>
    <row r="7" spans="1:9" ht="27.75" customHeight="1" x14ac:dyDescent="0.3">
      <c r="A7" s="12" t="s">
        <v>40</v>
      </c>
      <c r="B7" s="12" t="s">
        <v>41</v>
      </c>
      <c r="C7" s="12" t="s">
        <v>42</v>
      </c>
      <c r="D7" s="12" t="s">
        <v>43</v>
      </c>
      <c r="E7" s="12" t="s">
        <v>44</v>
      </c>
      <c r="F7" s="12" t="s">
        <v>45</v>
      </c>
      <c r="G7" s="12" t="s">
        <v>46</v>
      </c>
      <c r="H7" s="12" t="s">
        <v>47</v>
      </c>
    </row>
    <row r="8" spans="1:9" ht="18" customHeight="1" x14ac:dyDescent="0.3">
      <c r="A8" s="13">
        <v>1</v>
      </c>
      <c r="B8" s="13" t="str">
        <f>DATA_KPI!B2</f>
        <v>Jan-2024</v>
      </c>
      <c r="C8" s="14">
        <f>DATA_KPI!C2</f>
        <v>4218747</v>
      </c>
      <c r="D8" s="14">
        <f>DATA_KPI!F2</f>
        <v>4534552</v>
      </c>
      <c r="E8" s="36">
        <f>IFERROR(C8/D8,0)</f>
        <v>0.93035585433798096</v>
      </c>
      <c r="F8" s="14">
        <f>DATA_KPI!D2</f>
        <v>1435282</v>
      </c>
      <c r="G8" s="15">
        <f t="shared" ref="G8:G20" si="0">IFERROR(F8/C8*100,0)</f>
        <v>34.021523452342606</v>
      </c>
      <c r="H8" s="14">
        <f>DATA_KPI!H2</f>
        <v>1511305</v>
      </c>
    </row>
    <row r="9" spans="1:9" ht="18" customHeight="1" x14ac:dyDescent="0.3">
      <c r="A9" s="16">
        <v>2</v>
      </c>
      <c r="B9" s="16" t="str">
        <f>DATA_KPI!B3</f>
        <v>Feb-2024</v>
      </c>
      <c r="C9" s="17">
        <f>DATA_KPI!C3</f>
        <v>3961742</v>
      </c>
      <c r="D9" s="17">
        <f>DATA_KPI!F3</f>
        <v>4328436</v>
      </c>
      <c r="E9" s="36">
        <f t="shared" ref="E9:E19" si="1">IFERROR(C9/D9,0)</f>
        <v>0.91528256395612639</v>
      </c>
      <c r="F9" s="17">
        <f>DATA_KPI!D3</f>
        <v>1346950</v>
      </c>
      <c r="G9" s="18">
        <f t="shared" si="0"/>
        <v>33.99893279269574</v>
      </c>
      <c r="H9" s="17">
        <f>DATA_KPI!H3</f>
        <v>1384117</v>
      </c>
    </row>
    <row r="10" spans="1:9" ht="18" customHeight="1" x14ac:dyDescent="0.3">
      <c r="A10" s="13">
        <v>3</v>
      </c>
      <c r="B10" s="13" t="str">
        <f>DATA_KPI!B4</f>
        <v>Mar-2024</v>
      </c>
      <c r="C10" s="14">
        <f>DATA_KPI!C4</f>
        <v>4348825</v>
      </c>
      <c r="D10" s="14">
        <f>DATA_KPI!F4</f>
        <v>4740668</v>
      </c>
      <c r="E10" s="36">
        <f t="shared" si="1"/>
        <v>0.91734434893985406</v>
      </c>
      <c r="F10" s="14">
        <f>DATA_KPI!D4</f>
        <v>1477494</v>
      </c>
      <c r="G10" s="15">
        <f t="shared" si="0"/>
        <v>33.974556345679581</v>
      </c>
      <c r="H10" s="14">
        <f>DATA_KPI!H4</f>
        <v>1523159</v>
      </c>
    </row>
    <row r="11" spans="1:9" ht="18" customHeight="1" x14ac:dyDescent="0.3">
      <c r="A11" s="16">
        <v>4</v>
      </c>
      <c r="B11" s="16" t="str">
        <f>DATA_KPI!B5</f>
        <v>Apr-2024</v>
      </c>
      <c r="C11" s="17">
        <f>DATA_KPI!C5</f>
        <v>4984264</v>
      </c>
      <c r="D11" s="17">
        <f>DATA_KPI!F5</f>
        <v>5410545</v>
      </c>
      <c r="E11" s="36">
        <f t="shared" si="1"/>
        <v>0.92121292771800256</v>
      </c>
      <c r="F11" s="17">
        <f>DATA_KPI!D5</f>
        <v>1698341</v>
      </c>
      <c r="G11" s="18">
        <f t="shared" si="0"/>
        <v>34.074057874944025</v>
      </c>
      <c r="H11" s="17">
        <f>DATA_KPI!H5</f>
        <v>1756110</v>
      </c>
    </row>
    <row r="12" spans="1:9" ht="18" customHeight="1" x14ac:dyDescent="0.3">
      <c r="A12" s="13">
        <v>5</v>
      </c>
      <c r="B12" s="13" t="str">
        <f>DATA_KPI!B6</f>
        <v>May-2024</v>
      </c>
      <c r="C12" s="14">
        <f>DATA_KPI!C6</f>
        <v>5091131</v>
      </c>
      <c r="D12" s="14">
        <f>DATA_KPI!F6</f>
        <v>5668190</v>
      </c>
      <c r="E12" s="36">
        <f t="shared" si="1"/>
        <v>0.89819342682584735</v>
      </c>
      <c r="F12" s="14">
        <f>DATA_KPI!D6</f>
        <v>1734436</v>
      </c>
      <c r="G12" s="15">
        <f t="shared" si="0"/>
        <v>34.067793580640533</v>
      </c>
      <c r="H12" s="14">
        <f>DATA_KPI!H6</f>
        <v>1820473</v>
      </c>
    </row>
    <row r="13" spans="1:9" ht="18" customHeight="1" x14ac:dyDescent="0.3">
      <c r="A13" s="16">
        <v>6</v>
      </c>
      <c r="B13" s="16" t="str">
        <f>DATA_KPI!B7</f>
        <v>Jun-2024</v>
      </c>
      <c r="C13" s="17">
        <f>DATA_KPI!C7</f>
        <v>5151644</v>
      </c>
      <c r="D13" s="17">
        <f>DATA_KPI!F7</f>
        <v>5565132</v>
      </c>
      <c r="E13" s="36">
        <f t="shared" si="1"/>
        <v>0.92570023496298026</v>
      </c>
      <c r="F13" s="17">
        <f>DATA_KPI!D7</f>
        <v>1755466</v>
      </c>
      <c r="G13" s="18">
        <f t="shared" si="0"/>
        <v>34.075840644268119</v>
      </c>
      <c r="H13" s="17">
        <f>DATA_KPI!H7</f>
        <v>1789992</v>
      </c>
    </row>
    <row r="14" spans="1:9" ht="18" customHeight="1" x14ac:dyDescent="0.3">
      <c r="A14" s="13">
        <v>7</v>
      </c>
      <c r="B14" s="13" t="str">
        <f>DATA_KPI!B8</f>
        <v>Jul-2024</v>
      </c>
      <c r="C14" s="14">
        <f>DATA_KPI!C8</f>
        <v>4722487</v>
      </c>
      <c r="D14" s="14">
        <f>DATA_KPI!F8</f>
        <v>4895255</v>
      </c>
      <c r="E14" s="36">
        <f t="shared" si="1"/>
        <v>0.9647070479474511</v>
      </c>
      <c r="F14" s="14">
        <f>DATA_KPI!D8</f>
        <v>1610196</v>
      </c>
      <c r="G14" s="15">
        <f t="shared" si="0"/>
        <v>34.096356432532268</v>
      </c>
      <c r="H14" s="14">
        <f>DATA_KPI!H8</f>
        <v>1558429</v>
      </c>
    </row>
    <row r="15" spans="1:9" ht="18" customHeight="1" x14ac:dyDescent="0.3">
      <c r="A15" s="16">
        <v>8</v>
      </c>
      <c r="B15" s="16" t="str">
        <f>DATA_KPI!B9</f>
        <v>Aug-2024</v>
      </c>
      <c r="C15" s="17">
        <f>DATA_KPI!C9</f>
        <v>4709355</v>
      </c>
      <c r="D15" s="17">
        <f>DATA_KPI!F9</f>
        <v>4998313</v>
      </c>
      <c r="E15" s="36">
        <f t="shared" si="1"/>
        <v>0.94218889453301546</v>
      </c>
      <c r="F15" s="17">
        <f>DATA_KPI!D9</f>
        <v>1611894</v>
      </c>
      <c r="G15" s="18">
        <f t="shared" si="0"/>
        <v>34.227489751781292</v>
      </c>
      <c r="H15" s="17">
        <f>DATA_KPI!H9</f>
        <v>1639159</v>
      </c>
    </row>
    <row r="16" spans="1:9" ht="18" customHeight="1" x14ac:dyDescent="0.3">
      <c r="A16" s="13">
        <v>9</v>
      </c>
      <c r="B16" s="13" t="str">
        <f>DATA_KPI!B10</f>
        <v>Sep-2024</v>
      </c>
      <c r="C16" s="14">
        <f>DATA_KPI!C10</f>
        <v>4823787</v>
      </c>
      <c r="D16" s="14">
        <f>DATA_KPI!F10</f>
        <v>5152900</v>
      </c>
      <c r="E16" s="36">
        <f t="shared" si="1"/>
        <v>0.93613052844029576</v>
      </c>
      <c r="F16" s="14">
        <f>DATA_KPI!D10</f>
        <v>1636204</v>
      </c>
      <c r="G16" s="15">
        <f t="shared" si="0"/>
        <v>33.919491055471561</v>
      </c>
      <c r="H16" s="14">
        <f>DATA_KPI!H10</f>
        <v>1584320</v>
      </c>
    </row>
    <row r="17" spans="1:8" ht="18" customHeight="1" x14ac:dyDescent="0.3">
      <c r="A17" s="16">
        <v>10</v>
      </c>
      <c r="B17" s="16" t="str">
        <f>DATA_KPI!B11</f>
        <v>Oct-2024</v>
      </c>
      <c r="C17" s="17">
        <f>DATA_KPI!C11</f>
        <v>5731787</v>
      </c>
      <c r="D17" s="17">
        <f>DATA_KPI!F11</f>
        <v>6080422</v>
      </c>
      <c r="E17" s="36">
        <f t="shared" si="1"/>
        <v>0.9426626967667705</v>
      </c>
      <c r="F17" s="17">
        <f>DATA_KPI!D11</f>
        <v>1954672</v>
      </c>
      <c r="G17" s="18">
        <f t="shared" si="0"/>
        <v>34.102313990383806</v>
      </c>
      <c r="H17" s="17">
        <f>DATA_KPI!H11</f>
        <v>1921428</v>
      </c>
    </row>
    <row r="18" spans="1:8" ht="18" customHeight="1" x14ac:dyDescent="0.3">
      <c r="A18" s="13">
        <v>11</v>
      </c>
      <c r="B18" s="13" t="str">
        <f>DATA_KPI!B12</f>
        <v>Nov-2024</v>
      </c>
      <c r="C18" s="14">
        <f>DATA_KPI!C12</f>
        <v>5872524</v>
      </c>
      <c r="D18" s="14">
        <f>DATA_KPI!F12</f>
        <v>6286538</v>
      </c>
      <c r="E18" s="36">
        <f t="shared" si="1"/>
        <v>0.93414276665471518</v>
      </c>
      <c r="F18" s="14">
        <f>DATA_KPI!D12</f>
        <v>1998563</v>
      </c>
      <c r="G18" s="15">
        <f t="shared" si="0"/>
        <v>34.032436478761092</v>
      </c>
      <c r="H18" s="14">
        <f>DATA_KPI!H12</f>
        <v>2064848</v>
      </c>
    </row>
    <row r="19" spans="1:8" ht="18" customHeight="1" x14ac:dyDescent="0.3">
      <c r="A19" s="16">
        <v>12</v>
      </c>
      <c r="B19" s="16" t="str">
        <f>DATA_KPI!B13</f>
        <v>Dec-2024</v>
      </c>
      <c r="C19" s="17">
        <f>DATA_KPI!C13</f>
        <v>4931100</v>
      </c>
      <c r="D19" s="17">
        <f>DATA_KPI!F13</f>
        <v>5410545</v>
      </c>
      <c r="E19" s="36">
        <f t="shared" si="1"/>
        <v>0.91138693052178665</v>
      </c>
      <c r="F19" s="17">
        <f>DATA_KPI!D13</f>
        <v>1682741</v>
      </c>
      <c r="G19" s="18">
        <f t="shared" si="0"/>
        <v>34.125063373283851</v>
      </c>
      <c r="H19" s="17">
        <f>DATA_KPI!H13</f>
        <v>1770972</v>
      </c>
    </row>
    <row r="20" spans="1:8" ht="21.75" customHeight="1" x14ac:dyDescent="0.3">
      <c r="A20" s="19"/>
      <c r="B20" s="19" t="s">
        <v>48</v>
      </c>
      <c r="C20" s="20">
        <f>SUM(C8:C19)</f>
        <v>58547393</v>
      </c>
      <c r="D20" s="20">
        <f>SUM(D8:D19)</f>
        <v>63071496</v>
      </c>
      <c r="E20" s="21">
        <f t="shared" ref="E20" si="2">IFERROR(C20/D20*100,0)</f>
        <v>92.827024429545801</v>
      </c>
      <c r="F20" s="20">
        <f>SUM(F8:F19)</f>
        <v>19942239</v>
      </c>
      <c r="G20" s="21">
        <f t="shared" si="0"/>
        <v>34.061702798619912</v>
      </c>
      <c r="H20" s="20">
        <f>SUM(H8:H19)</f>
        <v>20324312</v>
      </c>
    </row>
  </sheetData>
  <mergeCells count="2">
    <mergeCell ref="A1:I1"/>
    <mergeCell ref="A2:I2"/>
  </mergeCells>
  <conditionalFormatting sqref="E8:E19">
    <cfRule type="colorScale" priority="2">
      <colorScale>
        <cfvo type="num" val="80"/>
        <cfvo type="num" val="95"/>
        <cfvo type="num" val="100"/>
        <color rgb="FFFFC7CE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5E20"/>
  </sheetPr>
  <dimension ref="A1:H53"/>
  <sheetViews>
    <sheetView showGridLines="0" tabSelected="1" zoomScale="85" zoomScaleNormal="85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G20" sqref="G20"/>
    </sheetView>
  </sheetViews>
  <sheetFormatPr defaultColWidth="8.6640625" defaultRowHeight="14.4" x14ac:dyDescent="0.3"/>
  <cols>
    <col min="1" max="1" width="5" customWidth="1"/>
    <col min="2" max="2" width="30" customWidth="1"/>
    <col min="3" max="3" width="20.44140625" customWidth="1"/>
    <col min="4" max="4" width="23.88671875" customWidth="1"/>
    <col min="5" max="5" width="29.109375" customWidth="1"/>
    <col min="6" max="6" width="23.5546875" customWidth="1"/>
    <col min="7" max="8" width="20" customWidth="1"/>
  </cols>
  <sheetData>
    <row r="1" spans="1:8" ht="31.5" customHeight="1" x14ac:dyDescent="0.3">
      <c r="A1" s="44" t="s">
        <v>49</v>
      </c>
      <c r="B1" s="44"/>
      <c r="C1" s="44"/>
      <c r="D1" s="44"/>
      <c r="E1" s="44"/>
      <c r="F1" s="44"/>
      <c r="G1" s="44"/>
      <c r="H1" s="44"/>
    </row>
    <row r="2" spans="1:8" ht="19.5" customHeight="1" x14ac:dyDescent="0.3">
      <c r="A2" s="45" t="s">
        <v>50</v>
      </c>
      <c r="B2" s="45"/>
      <c r="C2" s="45"/>
      <c r="D2" s="45"/>
      <c r="E2" s="45"/>
      <c r="F2" s="45"/>
      <c r="G2" s="45"/>
      <c r="H2" s="45"/>
    </row>
    <row r="4" spans="1:8" ht="21.75" customHeight="1" x14ac:dyDescent="0.3">
      <c r="B4" s="2" t="s">
        <v>51</v>
      </c>
      <c r="C4" s="3" t="s">
        <v>52</v>
      </c>
      <c r="D4" s="5" t="s">
        <v>53</v>
      </c>
      <c r="E4" s="4" t="s">
        <v>54</v>
      </c>
      <c r="F4" s="6" t="s">
        <v>55</v>
      </c>
      <c r="G4" s="7" t="s">
        <v>56</v>
      </c>
      <c r="H4" s="9" t="s">
        <v>57</v>
      </c>
    </row>
    <row r="5" spans="1:8" ht="30" customHeight="1" x14ac:dyDescent="0.3">
      <c r="B5" s="22">
        <f>SUM(DATA_KPI!J2:J13)</f>
        <v>18.899999999999999</v>
      </c>
      <c r="C5" s="22">
        <f>SUM(DATA_KPI!K2:K13)</f>
        <v>3001438</v>
      </c>
      <c r="D5" s="22">
        <f>SUM(DATA_KPI!L2:L13)</f>
        <v>2895608</v>
      </c>
      <c r="E5" s="22">
        <f>SUM(DATA_KPI!M2:M13)</f>
        <v>21959</v>
      </c>
      <c r="F5" s="22">
        <f>SUM(DATA_KPI!N2:N13)</f>
        <v>1376</v>
      </c>
      <c r="G5" s="11">
        <f>IFERROR(AVERAGE(DATA_KPI!O2:O13),0)</f>
        <v>97.833333333333329</v>
      </c>
      <c r="H5" s="38">
        <f>IFERROR(D5/B5*100,0)</f>
        <v>15320677.24867725</v>
      </c>
    </row>
    <row r="6" spans="1:8" ht="7.5" customHeight="1" x14ac:dyDescent="0.3"/>
    <row r="7" spans="1:8" ht="27.75" customHeight="1" x14ac:dyDescent="0.3">
      <c r="A7" s="23" t="s">
        <v>40</v>
      </c>
      <c r="B7" s="23" t="s">
        <v>41</v>
      </c>
      <c r="C7" s="23" t="s">
        <v>58</v>
      </c>
      <c r="D7" s="23" t="s">
        <v>59</v>
      </c>
      <c r="E7" s="23" t="s">
        <v>60</v>
      </c>
      <c r="F7" s="23" t="s">
        <v>61</v>
      </c>
      <c r="G7" s="23" t="s">
        <v>62</v>
      </c>
      <c r="H7" s="23" t="s">
        <v>63</v>
      </c>
    </row>
    <row r="8" spans="1:8" ht="18" customHeight="1" x14ac:dyDescent="0.3">
      <c r="A8" s="13">
        <v>1</v>
      </c>
      <c r="B8" s="13" t="str">
        <f>DATA_KPI!B2</f>
        <v>Jan-2024</v>
      </c>
      <c r="C8" s="24">
        <f>DATA_KPI!J2</f>
        <v>5</v>
      </c>
      <c r="D8" s="24">
        <f>DATA_KPI!K2</f>
        <v>214939</v>
      </c>
      <c r="E8" s="24">
        <f>DATA_KPI!L2</f>
        <v>207847</v>
      </c>
      <c r="F8" s="24">
        <f t="shared" ref="F8:F19" si="0">C8-D8-E8</f>
        <v>-422781</v>
      </c>
      <c r="G8" s="35">
        <f>IFERROR(E8/C8*100,0)</f>
        <v>4156940</v>
      </c>
      <c r="H8" s="15">
        <f>DATA_KPI!O2</f>
        <v>92</v>
      </c>
    </row>
    <row r="9" spans="1:8" ht="18" customHeight="1" x14ac:dyDescent="0.3">
      <c r="A9" s="16">
        <v>2</v>
      </c>
      <c r="B9" s="16" t="str">
        <f>DATA_KPI!B3</f>
        <v>Feb-2024</v>
      </c>
      <c r="C9" s="25">
        <f>DATA_KPI!J3</f>
        <v>0.8</v>
      </c>
      <c r="D9" s="25">
        <f>DATA_KPI!K3</f>
        <v>208754</v>
      </c>
      <c r="E9" s="25">
        <f>DATA_KPI!L3</f>
        <v>200965</v>
      </c>
      <c r="F9" s="25">
        <f t="shared" si="0"/>
        <v>-409718.2</v>
      </c>
      <c r="G9" s="35">
        <f t="shared" ref="G9:G20" si="1">IFERROR(E9/C9*100,0)</f>
        <v>25120625</v>
      </c>
      <c r="H9" s="18">
        <f>DATA_KPI!O3</f>
        <v>94</v>
      </c>
    </row>
    <row r="10" spans="1:8" ht="18" customHeight="1" x14ac:dyDescent="0.3">
      <c r="A10" s="13">
        <v>3</v>
      </c>
      <c r="B10" s="13" t="str">
        <f>DATA_KPI!B4</f>
        <v>Mar-2024</v>
      </c>
      <c r="C10" s="24">
        <f>DATA_KPI!J4</f>
        <v>1.3</v>
      </c>
      <c r="D10" s="24">
        <f>DATA_KPI!K4</f>
        <v>225184</v>
      </c>
      <c r="E10" s="24">
        <f>DATA_KPI!L4</f>
        <v>219143</v>
      </c>
      <c r="F10" s="24">
        <f t="shared" si="0"/>
        <v>-444325.7</v>
      </c>
      <c r="G10" s="35">
        <f t="shared" si="1"/>
        <v>16857153.846153848</v>
      </c>
      <c r="H10" s="15">
        <f>DATA_KPI!O4</f>
        <v>92</v>
      </c>
    </row>
    <row r="11" spans="1:8" ht="18" customHeight="1" x14ac:dyDescent="0.3">
      <c r="A11" s="16">
        <v>4</v>
      </c>
      <c r="B11" s="16" t="str">
        <f>DATA_KPI!B5</f>
        <v>Apr-2024</v>
      </c>
      <c r="C11" s="25">
        <f>DATA_KPI!J5</f>
        <v>2.2999999999999998</v>
      </c>
      <c r="D11" s="25">
        <f>DATA_KPI!K5</f>
        <v>257000</v>
      </c>
      <c r="E11" s="25">
        <f>DATA_KPI!L5</f>
        <v>248721</v>
      </c>
      <c r="F11" s="25">
        <f t="shared" si="0"/>
        <v>-505718.7</v>
      </c>
      <c r="G11" s="35">
        <f t="shared" si="1"/>
        <v>10813956.521739131</v>
      </c>
      <c r="H11" s="18">
        <f>DATA_KPI!O5</f>
        <v>107</v>
      </c>
    </row>
    <row r="12" spans="1:8" ht="18" customHeight="1" x14ac:dyDescent="0.3">
      <c r="A12" s="13">
        <v>5</v>
      </c>
      <c r="B12" s="13" t="str">
        <f>DATA_KPI!B6</f>
        <v>May-2024</v>
      </c>
      <c r="C12" s="24">
        <f>DATA_KPI!J6</f>
        <v>1.2</v>
      </c>
      <c r="D12" s="24">
        <f>DATA_KPI!K6</f>
        <v>269108</v>
      </c>
      <c r="E12" s="24">
        <f>DATA_KPI!L6</f>
        <v>259756</v>
      </c>
      <c r="F12" s="24">
        <f t="shared" si="0"/>
        <v>-528862.80000000005</v>
      </c>
      <c r="G12" s="35">
        <f t="shared" si="1"/>
        <v>21646333.333333336</v>
      </c>
      <c r="H12" s="15">
        <f>DATA_KPI!O6</f>
        <v>109</v>
      </c>
    </row>
    <row r="13" spans="1:8" ht="18" customHeight="1" x14ac:dyDescent="0.3">
      <c r="A13" s="16">
        <v>6</v>
      </c>
      <c r="B13" s="16" t="str">
        <f>DATA_KPI!B7</f>
        <v>Jun-2024</v>
      </c>
      <c r="C13" s="25">
        <f>DATA_KPI!J7</f>
        <v>1.4</v>
      </c>
      <c r="D13" s="25">
        <f>DATA_KPI!K7</f>
        <v>264598</v>
      </c>
      <c r="E13" s="25">
        <f>DATA_KPI!L7</f>
        <v>253969</v>
      </c>
      <c r="F13" s="25">
        <f t="shared" si="0"/>
        <v>-518565.6</v>
      </c>
      <c r="G13" s="35">
        <f t="shared" si="1"/>
        <v>18140642.857142858</v>
      </c>
      <c r="H13" s="18">
        <f>DATA_KPI!O7</f>
        <v>106</v>
      </c>
    </row>
    <row r="14" spans="1:8" ht="18" customHeight="1" x14ac:dyDescent="0.3">
      <c r="A14" s="13">
        <v>7</v>
      </c>
      <c r="B14" s="13" t="str">
        <f>DATA_KPI!B8</f>
        <v>Jul-2024</v>
      </c>
      <c r="C14" s="24">
        <f>DATA_KPI!J8</f>
        <v>0.3</v>
      </c>
      <c r="D14" s="24">
        <f>DATA_KPI!K8</f>
        <v>233892</v>
      </c>
      <c r="E14" s="24">
        <f>DATA_KPI!L8</f>
        <v>225555</v>
      </c>
      <c r="F14" s="24">
        <f t="shared" si="0"/>
        <v>-459446.7</v>
      </c>
      <c r="G14" s="35">
        <f t="shared" si="1"/>
        <v>75185000</v>
      </c>
      <c r="H14" s="15">
        <f>DATA_KPI!O8</f>
        <v>100</v>
      </c>
    </row>
    <row r="15" spans="1:8" ht="18" customHeight="1" x14ac:dyDescent="0.3">
      <c r="A15" s="16">
        <v>8</v>
      </c>
      <c r="B15" s="16" t="str">
        <f>DATA_KPI!B9</f>
        <v>Aug-2024</v>
      </c>
      <c r="C15" s="25">
        <f>DATA_KPI!J9</f>
        <v>3.4</v>
      </c>
      <c r="D15" s="25">
        <f>DATA_KPI!K9</f>
        <v>238114</v>
      </c>
      <c r="E15" s="25">
        <f>DATA_KPI!L9</f>
        <v>231442</v>
      </c>
      <c r="F15" s="25">
        <f t="shared" si="0"/>
        <v>-469552.6</v>
      </c>
      <c r="G15" s="35">
        <f t="shared" si="1"/>
        <v>6807117.6470588241</v>
      </c>
      <c r="H15" s="18">
        <f>DATA_KPI!O9</f>
        <v>94</v>
      </c>
    </row>
    <row r="16" spans="1:8" ht="18" customHeight="1" x14ac:dyDescent="0.3">
      <c r="A16" s="13">
        <v>9</v>
      </c>
      <c r="B16" s="13" t="str">
        <f>DATA_KPI!B10</f>
        <v>Sep-2024</v>
      </c>
      <c r="C16" s="24">
        <f>DATA_KPI!J10</f>
        <v>-3.1</v>
      </c>
      <c r="D16" s="24">
        <f>DATA_KPI!K10</f>
        <v>245240</v>
      </c>
      <c r="E16" s="24">
        <f>DATA_KPI!L10</f>
        <v>236764</v>
      </c>
      <c r="F16" s="24">
        <f t="shared" si="0"/>
        <v>-482007.1</v>
      </c>
      <c r="G16" s="35">
        <f t="shared" si="1"/>
        <v>-7637548.3870967738</v>
      </c>
      <c r="H16" s="15">
        <f>DATA_KPI!O10</f>
        <v>99</v>
      </c>
    </row>
    <row r="17" spans="1:8" ht="18" customHeight="1" x14ac:dyDescent="0.3">
      <c r="A17" s="16">
        <v>10</v>
      </c>
      <c r="B17" s="16" t="str">
        <f>DATA_KPI!B11</f>
        <v>Oct-2024</v>
      </c>
      <c r="C17" s="25">
        <f>DATA_KPI!J11</f>
        <v>-0.4</v>
      </c>
      <c r="D17" s="25">
        <f>DATA_KPI!K11</f>
        <v>288651</v>
      </c>
      <c r="E17" s="25">
        <f>DATA_KPI!L11</f>
        <v>276458</v>
      </c>
      <c r="F17" s="25">
        <f t="shared" si="0"/>
        <v>-565109.4</v>
      </c>
      <c r="G17" s="35">
        <f t="shared" si="1"/>
        <v>-69114500</v>
      </c>
      <c r="H17" s="18">
        <f>DATA_KPI!O11</f>
        <v>91</v>
      </c>
    </row>
    <row r="18" spans="1:8" ht="18" customHeight="1" x14ac:dyDescent="0.3">
      <c r="A18" s="13">
        <v>11</v>
      </c>
      <c r="B18" s="13" t="str">
        <f>DATA_KPI!B12</f>
        <v>Nov-2024</v>
      </c>
      <c r="C18" s="24">
        <f>DATA_KPI!J12</f>
        <v>3.5</v>
      </c>
      <c r="D18" s="24">
        <f>DATA_KPI!K12</f>
        <v>299758</v>
      </c>
      <c r="E18" s="24">
        <f>DATA_KPI!L12</f>
        <v>286876</v>
      </c>
      <c r="F18" s="24">
        <f t="shared" si="0"/>
        <v>-586630.5</v>
      </c>
      <c r="G18" s="35">
        <f t="shared" si="1"/>
        <v>8196457.1428571437</v>
      </c>
      <c r="H18" s="15">
        <f>DATA_KPI!O12</f>
        <v>101</v>
      </c>
    </row>
    <row r="19" spans="1:8" ht="18" customHeight="1" x14ac:dyDescent="0.3">
      <c r="A19" s="16">
        <v>12</v>
      </c>
      <c r="B19" s="16" t="str">
        <f>DATA_KPI!B13</f>
        <v>Dec-2024</v>
      </c>
      <c r="C19" s="25">
        <f>DATA_KPI!J13</f>
        <v>3.2</v>
      </c>
      <c r="D19" s="25">
        <f>DATA_KPI!K13</f>
        <v>256200</v>
      </c>
      <c r="E19" s="25">
        <f>DATA_KPI!L13</f>
        <v>248112</v>
      </c>
      <c r="F19" s="25">
        <f t="shared" si="0"/>
        <v>-504308.8</v>
      </c>
      <c r="G19" s="35">
        <f t="shared" si="1"/>
        <v>7753500</v>
      </c>
      <c r="H19" s="18">
        <f>DATA_KPI!O13</f>
        <v>89</v>
      </c>
    </row>
    <row r="20" spans="1:8" ht="21.75" customHeight="1" x14ac:dyDescent="0.3">
      <c r="A20" s="19"/>
      <c r="B20" s="19" t="s">
        <v>64</v>
      </c>
      <c r="C20" s="26">
        <f>SUM(C8:C19)</f>
        <v>18.899999999999999</v>
      </c>
      <c r="D20" s="26">
        <f>SUM(D8:D19)</f>
        <v>3001438</v>
      </c>
      <c r="E20" s="26">
        <f>SUM(E8:E19)</f>
        <v>2895608</v>
      </c>
      <c r="F20" s="26">
        <f>SUM(F8:F19)</f>
        <v>-5897027.1000000006</v>
      </c>
      <c r="G20" s="35">
        <f t="shared" si="1"/>
        <v>15320677.24867725</v>
      </c>
      <c r="H20" s="21">
        <f>IFERROR(AVERAGE(H8:H19),0)</f>
        <v>97.833333333333329</v>
      </c>
    </row>
    <row r="21" spans="1:8" ht="9.75" customHeight="1" x14ac:dyDescent="0.3"/>
    <row r="22" spans="1:8" ht="24" customHeight="1" x14ac:dyDescent="0.3">
      <c r="A22" s="46" t="s">
        <v>65</v>
      </c>
      <c r="B22" s="46"/>
      <c r="C22" s="46"/>
      <c r="D22" s="46"/>
      <c r="E22" s="46"/>
      <c r="F22" s="46"/>
      <c r="G22" s="46"/>
      <c r="H22" s="46"/>
    </row>
    <row r="23" spans="1:8" ht="27.75" customHeight="1" x14ac:dyDescent="0.3">
      <c r="A23" s="27" t="s">
        <v>40</v>
      </c>
      <c r="B23" s="27" t="s">
        <v>66</v>
      </c>
      <c r="C23" s="27" t="s">
        <v>67</v>
      </c>
      <c r="D23" s="27" t="s">
        <v>68</v>
      </c>
      <c r="E23" s="27" t="s">
        <v>69</v>
      </c>
      <c r="F23" s="27" t="s">
        <v>70</v>
      </c>
      <c r="G23" s="27" t="s">
        <v>71</v>
      </c>
      <c r="H23" s="27" t="s">
        <v>72</v>
      </c>
    </row>
    <row r="24" spans="1:8" ht="18" customHeight="1" x14ac:dyDescent="0.3">
      <c r="A24" s="13">
        <v>1</v>
      </c>
      <c r="B24" s="13" t="s">
        <v>73</v>
      </c>
      <c r="C24" s="13" t="s">
        <v>74</v>
      </c>
      <c r="D24" s="13" t="s">
        <v>75</v>
      </c>
      <c r="E24" s="24">
        <v>30452</v>
      </c>
      <c r="F24" s="14">
        <v>6784641.9000000004</v>
      </c>
      <c r="G24" s="14">
        <v>2324347.7999999998</v>
      </c>
      <c r="H24" s="15">
        <f t="shared" ref="H24:H53" si="2">IFERROR(G24/F24*100,0)</f>
        <v>34.258960668211536</v>
      </c>
    </row>
    <row r="25" spans="1:8" ht="18" customHeight="1" x14ac:dyDescent="0.3">
      <c r="A25" s="16">
        <v>2</v>
      </c>
      <c r="B25" s="16" t="s">
        <v>76</v>
      </c>
      <c r="C25" s="16" t="s">
        <v>74</v>
      </c>
      <c r="D25" s="16" t="s">
        <v>77</v>
      </c>
      <c r="E25" s="25">
        <v>36518</v>
      </c>
      <c r="F25" s="17">
        <v>4764156.3600000003</v>
      </c>
      <c r="G25" s="17">
        <v>1631853.55</v>
      </c>
      <c r="H25" s="18">
        <f t="shared" si="2"/>
        <v>34.25272864050163</v>
      </c>
    </row>
    <row r="26" spans="1:8" ht="18" customHeight="1" x14ac:dyDescent="0.3">
      <c r="A26" s="13">
        <v>3</v>
      </c>
      <c r="B26" s="13" t="s">
        <v>78</v>
      </c>
      <c r="C26" s="13" t="s">
        <v>79</v>
      </c>
      <c r="D26" s="13" t="s">
        <v>80</v>
      </c>
      <c r="E26" s="24">
        <v>20994</v>
      </c>
      <c r="F26" s="14">
        <v>4351124.32</v>
      </c>
      <c r="G26" s="14">
        <v>1491682.55</v>
      </c>
      <c r="H26" s="15">
        <f t="shared" si="2"/>
        <v>34.282692019243427</v>
      </c>
    </row>
    <row r="27" spans="1:8" ht="18" customHeight="1" x14ac:dyDescent="0.3">
      <c r="A27" s="16">
        <v>4</v>
      </c>
      <c r="B27" s="16" t="s">
        <v>81</v>
      </c>
      <c r="C27" s="16" t="s">
        <v>79</v>
      </c>
      <c r="D27" s="16" t="s">
        <v>82</v>
      </c>
      <c r="E27" s="25">
        <v>18103</v>
      </c>
      <c r="F27" s="17">
        <v>3930147.94</v>
      </c>
      <c r="G27" s="17">
        <v>1357210</v>
      </c>
      <c r="H27" s="18">
        <f t="shared" si="2"/>
        <v>34.53330563429121</v>
      </c>
    </row>
    <row r="28" spans="1:8" ht="18" customHeight="1" x14ac:dyDescent="0.3">
      <c r="A28" s="13">
        <v>5</v>
      </c>
      <c r="B28" s="13" t="s">
        <v>83</v>
      </c>
      <c r="C28" s="13" t="s">
        <v>84</v>
      </c>
      <c r="D28" s="13" t="s">
        <v>85</v>
      </c>
      <c r="E28" s="24">
        <v>23811</v>
      </c>
      <c r="F28" s="14">
        <v>3807808.15</v>
      </c>
      <c r="G28" s="14">
        <v>1319403.8999999999</v>
      </c>
      <c r="H28" s="15">
        <f t="shared" si="2"/>
        <v>34.649957351449018</v>
      </c>
    </row>
    <row r="29" spans="1:8" ht="18" customHeight="1" x14ac:dyDescent="0.3">
      <c r="A29" s="16">
        <v>6</v>
      </c>
      <c r="B29" s="16" t="s">
        <v>86</v>
      </c>
      <c r="C29" s="16" t="s">
        <v>84</v>
      </c>
      <c r="D29" s="16" t="s">
        <v>80</v>
      </c>
      <c r="E29" s="25">
        <v>10615</v>
      </c>
      <c r="F29" s="17">
        <v>2977306.72</v>
      </c>
      <c r="G29" s="17">
        <v>1020593.6</v>
      </c>
      <c r="H29" s="18">
        <f t="shared" si="2"/>
        <v>34.279088316436543</v>
      </c>
    </row>
    <row r="30" spans="1:8" ht="18" customHeight="1" x14ac:dyDescent="0.3">
      <c r="A30" s="13">
        <v>7</v>
      </c>
      <c r="B30" s="13" t="s">
        <v>87</v>
      </c>
      <c r="C30" s="13" t="s">
        <v>88</v>
      </c>
      <c r="D30" s="13" t="s">
        <v>89</v>
      </c>
      <c r="E30" s="24">
        <v>13722</v>
      </c>
      <c r="F30" s="14">
        <v>2592835.0499999998</v>
      </c>
      <c r="G30" s="14">
        <v>890825.85</v>
      </c>
      <c r="H30" s="15">
        <f t="shared" si="2"/>
        <v>34.357212580877444</v>
      </c>
    </row>
    <row r="31" spans="1:8" ht="18" customHeight="1" x14ac:dyDescent="0.3">
      <c r="A31" s="16">
        <v>8</v>
      </c>
      <c r="B31" s="16" t="s">
        <v>90</v>
      </c>
      <c r="C31" s="16" t="s">
        <v>91</v>
      </c>
      <c r="D31" s="16" t="s">
        <v>92</v>
      </c>
      <c r="E31" s="25">
        <v>33174</v>
      </c>
      <c r="F31" s="17">
        <v>2567136.75</v>
      </c>
      <c r="G31" s="17">
        <v>884611.2</v>
      </c>
      <c r="H31" s="18">
        <f t="shared" si="2"/>
        <v>34.459060274058245</v>
      </c>
    </row>
    <row r="32" spans="1:8" ht="18" customHeight="1" x14ac:dyDescent="0.3">
      <c r="A32" s="13">
        <v>9</v>
      </c>
      <c r="B32" s="13" t="s">
        <v>93</v>
      </c>
      <c r="C32" s="13" t="s">
        <v>94</v>
      </c>
      <c r="D32" s="13" t="s">
        <v>82</v>
      </c>
      <c r="E32" s="24">
        <v>12952</v>
      </c>
      <c r="F32" s="14">
        <v>2193993.35</v>
      </c>
      <c r="G32" s="14">
        <v>753038.5</v>
      </c>
      <c r="H32" s="15">
        <f t="shared" si="2"/>
        <v>34.322733931714055</v>
      </c>
    </row>
    <row r="33" spans="1:8" ht="18" customHeight="1" x14ac:dyDescent="0.3">
      <c r="A33" s="16">
        <v>10</v>
      </c>
      <c r="B33" s="16" t="s">
        <v>95</v>
      </c>
      <c r="C33" s="16" t="s">
        <v>96</v>
      </c>
      <c r="D33" s="16" t="s">
        <v>97</v>
      </c>
      <c r="E33" s="25">
        <v>22565</v>
      </c>
      <c r="F33" s="17">
        <v>2150704.66</v>
      </c>
      <c r="G33" s="17">
        <v>747378.25</v>
      </c>
      <c r="H33" s="18">
        <f t="shared" si="2"/>
        <v>34.750389669960541</v>
      </c>
    </row>
    <row r="34" spans="1:8" ht="18" customHeight="1" x14ac:dyDescent="0.3">
      <c r="A34" s="13">
        <v>11</v>
      </c>
      <c r="B34" s="13" t="s">
        <v>98</v>
      </c>
      <c r="C34" s="13" t="s">
        <v>88</v>
      </c>
      <c r="D34" s="13" t="s">
        <v>89</v>
      </c>
      <c r="E34" s="24">
        <v>24048</v>
      </c>
      <c r="F34" s="14">
        <v>1971101.58</v>
      </c>
      <c r="G34" s="14">
        <v>684224.45</v>
      </c>
      <c r="H34" s="15">
        <f t="shared" si="2"/>
        <v>34.71279496412356</v>
      </c>
    </row>
    <row r="35" spans="1:8" ht="18" customHeight="1" x14ac:dyDescent="0.3">
      <c r="A35" s="16">
        <v>12</v>
      </c>
      <c r="B35" s="16" t="s">
        <v>99</v>
      </c>
      <c r="C35" s="16" t="s">
        <v>100</v>
      </c>
      <c r="D35" s="16" t="s">
        <v>80</v>
      </c>
      <c r="E35" s="25">
        <v>40438</v>
      </c>
      <c r="F35" s="17">
        <v>1952593.57</v>
      </c>
      <c r="G35" s="17">
        <v>692535.5</v>
      </c>
      <c r="H35" s="18">
        <f t="shared" si="2"/>
        <v>35.467468019983286</v>
      </c>
    </row>
    <row r="36" spans="1:8" ht="18" customHeight="1" x14ac:dyDescent="0.3">
      <c r="A36" s="13">
        <v>13</v>
      </c>
      <c r="B36" s="13" t="s">
        <v>101</v>
      </c>
      <c r="C36" s="13" t="s">
        <v>88</v>
      </c>
      <c r="D36" s="13" t="s">
        <v>89</v>
      </c>
      <c r="E36" s="24">
        <v>18856</v>
      </c>
      <c r="F36" s="14">
        <v>1728820.72</v>
      </c>
      <c r="G36" s="14">
        <v>609242.9</v>
      </c>
      <c r="H36" s="15">
        <f t="shared" si="2"/>
        <v>35.240374722024384</v>
      </c>
    </row>
    <row r="37" spans="1:8" ht="18" customHeight="1" x14ac:dyDescent="0.3">
      <c r="A37" s="16">
        <v>14</v>
      </c>
      <c r="B37" s="16" t="s">
        <v>102</v>
      </c>
      <c r="C37" s="16" t="s">
        <v>96</v>
      </c>
      <c r="D37" s="16" t="s">
        <v>80</v>
      </c>
      <c r="E37" s="25">
        <v>20747</v>
      </c>
      <c r="F37" s="17">
        <v>1709816.62</v>
      </c>
      <c r="G37" s="17">
        <v>595057</v>
      </c>
      <c r="H37" s="18">
        <f t="shared" si="2"/>
        <v>34.802387170619497</v>
      </c>
    </row>
    <row r="38" spans="1:8" ht="18" customHeight="1" x14ac:dyDescent="0.3">
      <c r="A38" s="13">
        <v>15</v>
      </c>
      <c r="B38" s="13" t="s">
        <v>103</v>
      </c>
      <c r="C38" s="13" t="s">
        <v>104</v>
      </c>
      <c r="D38" s="13" t="s">
        <v>105</v>
      </c>
      <c r="E38" s="24">
        <v>15528</v>
      </c>
      <c r="F38" s="14">
        <v>1660159.07</v>
      </c>
      <c r="G38" s="14">
        <v>581179.69999999995</v>
      </c>
      <c r="H38" s="15">
        <f t="shared" si="2"/>
        <v>35.00747069978059</v>
      </c>
    </row>
    <row r="39" spans="1:8" ht="18" customHeight="1" x14ac:dyDescent="0.3">
      <c r="A39" s="16">
        <v>16</v>
      </c>
      <c r="B39" s="16" t="s">
        <v>106</v>
      </c>
      <c r="C39" s="16" t="s">
        <v>94</v>
      </c>
      <c r="D39" s="16" t="s">
        <v>80</v>
      </c>
      <c r="E39" s="25">
        <v>16585</v>
      </c>
      <c r="F39" s="17">
        <v>1361133.84</v>
      </c>
      <c r="G39" s="17">
        <v>472791.2</v>
      </c>
      <c r="H39" s="18">
        <f t="shared" si="2"/>
        <v>34.735099966363336</v>
      </c>
    </row>
    <row r="40" spans="1:8" ht="18" customHeight="1" x14ac:dyDescent="0.3">
      <c r="A40" s="13">
        <v>17</v>
      </c>
      <c r="B40" s="13" t="s">
        <v>107</v>
      </c>
      <c r="C40" s="13" t="s">
        <v>104</v>
      </c>
      <c r="D40" s="13" t="s">
        <v>105</v>
      </c>
      <c r="E40" s="24">
        <v>12625</v>
      </c>
      <c r="F40" s="14">
        <v>1343530.27</v>
      </c>
      <c r="G40" s="14">
        <v>469343.2</v>
      </c>
      <c r="H40" s="15">
        <f t="shared" si="2"/>
        <v>34.933578385249184</v>
      </c>
    </row>
    <row r="41" spans="1:8" ht="18" customHeight="1" x14ac:dyDescent="0.3">
      <c r="A41" s="16">
        <v>18</v>
      </c>
      <c r="B41" s="16" t="s">
        <v>108</v>
      </c>
      <c r="C41" s="16" t="s">
        <v>109</v>
      </c>
      <c r="D41" s="16" t="s">
        <v>110</v>
      </c>
      <c r="E41" s="25">
        <v>10490</v>
      </c>
      <c r="F41" s="17">
        <v>1163509.26</v>
      </c>
      <c r="G41" s="17">
        <v>397741.95</v>
      </c>
      <c r="H41" s="18">
        <f t="shared" si="2"/>
        <v>34.184682810345663</v>
      </c>
    </row>
    <row r="42" spans="1:8" ht="18" customHeight="1" x14ac:dyDescent="0.3">
      <c r="A42" s="13">
        <v>19</v>
      </c>
      <c r="B42" s="13" t="s">
        <v>111</v>
      </c>
      <c r="C42" s="13" t="s">
        <v>74</v>
      </c>
      <c r="D42" s="13" t="s">
        <v>85</v>
      </c>
      <c r="E42" s="24">
        <v>52422</v>
      </c>
      <c r="F42" s="14">
        <v>1114791.27</v>
      </c>
      <c r="G42" s="14">
        <v>399753.76</v>
      </c>
      <c r="H42" s="15">
        <f t="shared" si="2"/>
        <v>35.859068038808736</v>
      </c>
    </row>
    <row r="43" spans="1:8" ht="18" customHeight="1" x14ac:dyDescent="0.3">
      <c r="A43" s="16">
        <v>20</v>
      </c>
      <c r="B43" s="16" t="s">
        <v>112</v>
      </c>
      <c r="C43" s="16" t="s">
        <v>109</v>
      </c>
      <c r="D43" s="16" t="s">
        <v>110</v>
      </c>
      <c r="E43" s="25">
        <v>9371</v>
      </c>
      <c r="F43" s="17">
        <v>1083692.73</v>
      </c>
      <c r="G43" s="17">
        <v>372750</v>
      </c>
      <c r="H43" s="18">
        <f t="shared" si="2"/>
        <v>34.396281314907412</v>
      </c>
    </row>
    <row r="44" spans="1:8" ht="18" customHeight="1" x14ac:dyDescent="0.3">
      <c r="A44" s="13">
        <v>21</v>
      </c>
      <c r="B44" s="13" t="s">
        <v>113</v>
      </c>
      <c r="C44" s="13" t="s">
        <v>114</v>
      </c>
      <c r="D44" s="13" t="s">
        <v>115</v>
      </c>
      <c r="E44" s="24">
        <v>47781</v>
      </c>
      <c r="F44" s="14">
        <v>924270.33</v>
      </c>
      <c r="G44" s="14">
        <v>318493.2</v>
      </c>
      <c r="H44" s="15">
        <f t="shared" si="2"/>
        <v>34.458879579094578</v>
      </c>
    </row>
    <row r="45" spans="1:8" ht="18" customHeight="1" x14ac:dyDescent="0.3">
      <c r="A45" s="16">
        <v>22</v>
      </c>
      <c r="B45" s="16" t="s">
        <v>116</v>
      </c>
      <c r="C45" s="16" t="s">
        <v>114</v>
      </c>
      <c r="D45" s="16" t="s">
        <v>117</v>
      </c>
      <c r="E45" s="25">
        <v>31052</v>
      </c>
      <c r="F45" s="17">
        <v>902911.75</v>
      </c>
      <c r="G45" s="17">
        <v>326968.90000000002</v>
      </c>
      <c r="H45" s="18">
        <f t="shared" si="2"/>
        <v>36.212719570877219</v>
      </c>
    </row>
    <row r="46" spans="1:8" ht="18" customHeight="1" x14ac:dyDescent="0.3">
      <c r="A46" s="13">
        <v>23</v>
      </c>
      <c r="B46" s="13" t="s">
        <v>118</v>
      </c>
      <c r="C46" s="13" t="s">
        <v>114</v>
      </c>
      <c r="D46" s="13" t="s">
        <v>117</v>
      </c>
      <c r="E46" s="24">
        <v>26388</v>
      </c>
      <c r="F46" s="14">
        <v>893459.35</v>
      </c>
      <c r="G46" s="14">
        <v>327698.59999999998</v>
      </c>
      <c r="H46" s="15">
        <f t="shared" si="2"/>
        <v>36.677505249679236</v>
      </c>
    </row>
    <row r="47" spans="1:8" ht="18" customHeight="1" x14ac:dyDescent="0.3">
      <c r="A47" s="16">
        <v>24</v>
      </c>
      <c r="B47" s="16" t="s">
        <v>119</v>
      </c>
      <c r="C47" s="16" t="s">
        <v>88</v>
      </c>
      <c r="D47" s="16" t="s">
        <v>89</v>
      </c>
      <c r="E47" s="25">
        <v>20705</v>
      </c>
      <c r="F47" s="17">
        <v>802182.12</v>
      </c>
      <c r="G47" s="17">
        <v>276615.59999999998</v>
      </c>
      <c r="H47" s="18">
        <f t="shared" si="2"/>
        <v>34.482892737624212</v>
      </c>
    </row>
    <row r="48" spans="1:8" ht="18" customHeight="1" x14ac:dyDescent="0.3">
      <c r="A48" s="13">
        <v>25</v>
      </c>
      <c r="B48" s="13" t="s">
        <v>120</v>
      </c>
      <c r="C48" s="13" t="s">
        <v>109</v>
      </c>
      <c r="D48" s="13" t="s">
        <v>80</v>
      </c>
      <c r="E48" s="24">
        <v>27729</v>
      </c>
      <c r="F48" s="14">
        <v>750910.77</v>
      </c>
      <c r="G48" s="14">
        <v>264294.36</v>
      </c>
      <c r="H48" s="15">
        <f t="shared" si="2"/>
        <v>35.196506770038731</v>
      </c>
    </row>
    <row r="49" spans="1:8" ht="18" customHeight="1" x14ac:dyDescent="0.3">
      <c r="A49" s="16">
        <v>26</v>
      </c>
      <c r="B49" s="16" t="s">
        <v>121</v>
      </c>
      <c r="C49" s="16" t="s">
        <v>104</v>
      </c>
      <c r="D49" s="16" t="s">
        <v>115</v>
      </c>
      <c r="E49" s="25">
        <v>33922</v>
      </c>
      <c r="F49" s="17">
        <v>656589.76</v>
      </c>
      <c r="G49" s="17">
        <v>226326</v>
      </c>
      <c r="H49" s="18">
        <f t="shared" si="2"/>
        <v>34.469925330544292</v>
      </c>
    </row>
    <row r="50" spans="1:8" ht="18" customHeight="1" x14ac:dyDescent="0.3">
      <c r="A50" s="13">
        <v>27</v>
      </c>
      <c r="B50" s="13" t="s">
        <v>122</v>
      </c>
      <c r="C50" s="13" t="s">
        <v>91</v>
      </c>
      <c r="D50" s="13" t="s">
        <v>92</v>
      </c>
      <c r="E50" s="24">
        <v>41537</v>
      </c>
      <c r="F50" s="14">
        <v>562486.52</v>
      </c>
      <c r="G50" s="14">
        <v>197981.6</v>
      </c>
      <c r="H50" s="15">
        <f t="shared" si="2"/>
        <v>35.197572379156753</v>
      </c>
    </row>
    <row r="51" spans="1:8" ht="18" customHeight="1" x14ac:dyDescent="0.3">
      <c r="A51" s="16">
        <v>28</v>
      </c>
      <c r="B51" s="16" t="s">
        <v>123</v>
      </c>
      <c r="C51" s="16" t="s">
        <v>114</v>
      </c>
      <c r="D51" s="16" t="s">
        <v>115</v>
      </c>
      <c r="E51" s="25">
        <v>17935</v>
      </c>
      <c r="F51" s="17">
        <v>519421.06</v>
      </c>
      <c r="G51" s="17">
        <v>187784.3</v>
      </c>
      <c r="H51" s="18">
        <f t="shared" si="2"/>
        <v>36.152615760323613</v>
      </c>
    </row>
    <row r="52" spans="1:8" ht="18" customHeight="1" x14ac:dyDescent="0.3">
      <c r="A52" s="13">
        <v>29</v>
      </c>
      <c r="B52" s="13" t="s">
        <v>124</v>
      </c>
      <c r="C52" s="13" t="s">
        <v>91</v>
      </c>
      <c r="D52" s="13" t="s">
        <v>92</v>
      </c>
      <c r="E52" s="24">
        <v>10584</v>
      </c>
      <c r="F52" s="14">
        <v>184386.32</v>
      </c>
      <c r="G52" s="14">
        <v>60384.42</v>
      </c>
      <c r="H52" s="15">
        <f t="shared" si="2"/>
        <v>32.748861195342471</v>
      </c>
    </row>
    <row r="53" spans="1:8" ht="18" customHeight="1" x14ac:dyDescent="0.3">
      <c r="A53" s="16">
        <v>30</v>
      </c>
      <c r="B53" s="16" t="s">
        <v>125</v>
      </c>
      <c r="C53" s="16" t="s">
        <v>126</v>
      </c>
      <c r="D53" s="16" t="s">
        <v>89</v>
      </c>
      <c r="E53" s="25">
        <v>8986</v>
      </c>
      <c r="F53" s="17">
        <v>174274.72</v>
      </c>
      <c r="G53" s="17">
        <v>60125.8</v>
      </c>
      <c r="H53" s="18">
        <f t="shared" si="2"/>
        <v>34.500586200913133</v>
      </c>
    </row>
  </sheetData>
  <mergeCells count="3">
    <mergeCell ref="A1:H1"/>
    <mergeCell ref="A2:H2"/>
    <mergeCell ref="A22:H22"/>
  </mergeCells>
  <conditionalFormatting sqref="F24:F53">
    <cfRule type="colorScale" priority="5">
      <colorScale>
        <cfvo type="min"/>
        <cfvo type="max"/>
        <color rgb="FFFFEB9C"/>
        <color rgb="FFC6EFCE"/>
      </colorScale>
    </cfRule>
  </conditionalFormatting>
  <conditionalFormatting sqref="G8:G19">
    <cfRule type="colorScale" priority="2">
      <colorScale>
        <cfvo type="min"/>
        <cfvo type="percentile" val="50"/>
        <cfvo type="max"/>
        <color rgb="FFC6EFCE"/>
        <color rgb="FFFFEB9C"/>
        <color rgb="FFFFC7CE"/>
      </colorScale>
    </cfRule>
  </conditionalFormatting>
  <conditionalFormatting sqref="H8:H19">
    <cfRule type="cellIs" dxfId="8" priority="3" operator="lessThan">
      <formula>85</formula>
    </cfRule>
    <cfRule type="cellIs" dxfId="7" priority="4" operator="greaterThanOrEqual">
      <formula>90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71C1C"/>
  </sheetPr>
  <dimension ref="A1:I128"/>
  <sheetViews>
    <sheetView showGridLines="0" zoomScale="85" zoomScaleNormal="85" workbookViewId="0">
      <pane xSplit="2" ySplit="7" topLeftCell="C39" activePane="bottomRight" state="frozen"/>
      <selection pane="topRight" activeCell="C1" sqref="C1"/>
      <selection pane="bottomLeft" activeCell="A8" sqref="A8"/>
      <selection pane="bottomRight" activeCell="H5" sqref="H5"/>
    </sheetView>
  </sheetViews>
  <sheetFormatPr defaultColWidth="8.6640625" defaultRowHeight="14.4" x14ac:dyDescent="0.3"/>
  <cols>
    <col min="1" max="1" width="5" customWidth="1"/>
    <col min="2" max="2" width="28" customWidth="1"/>
    <col min="3" max="3" width="22" customWidth="1"/>
    <col min="4" max="5" width="18" customWidth="1"/>
    <col min="6" max="6" width="24.5546875" customWidth="1"/>
    <col min="7" max="7" width="31" customWidth="1"/>
    <col min="8" max="8" width="20" customWidth="1"/>
  </cols>
  <sheetData>
    <row r="1" spans="1:9" ht="31.5" customHeight="1" x14ac:dyDescent="0.3">
      <c r="A1" s="44" t="s">
        <v>127</v>
      </c>
      <c r="B1" s="44"/>
      <c r="C1" s="44"/>
      <c r="D1" s="44"/>
      <c r="E1" s="44"/>
      <c r="F1" s="44"/>
      <c r="G1" s="44"/>
      <c r="H1" s="44"/>
    </row>
    <row r="2" spans="1:9" ht="19.5" customHeight="1" x14ac:dyDescent="0.3">
      <c r="A2" s="45" t="s">
        <v>128</v>
      </c>
      <c r="B2" s="45"/>
      <c r="C2" s="45"/>
      <c r="D2" s="45"/>
      <c r="E2" s="45"/>
      <c r="F2" s="45"/>
      <c r="G2" s="45"/>
      <c r="H2" s="45"/>
    </row>
    <row r="4" spans="1:9" ht="21.75" customHeight="1" x14ac:dyDescent="0.3">
      <c r="B4" s="2" t="s">
        <v>129</v>
      </c>
      <c r="C4" s="3" t="s">
        <v>130</v>
      </c>
      <c r="D4" s="5" t="s">
        <v>131</v>
      </c>
      <c r="E4" s="4" t="s">
        <v>132</v>
      </c>
      <c r="F4" s="9" t="s">
        <v>133</v>
      </c>
      <c r="G4" s="6" t="s">
        <v>134</v>
      </c>
      <c r="H4" s="7" t="s">
        <v>135</v>
      </c>
    </row>
    <row r="5" spans="1:9" ht="30" customHeight="1" x14ac:dyDescent="0.3">
      <c r="B5" s="10">
        <f>SUM(DATA_COST!E2:E121)</f>
        <v>20324312</v>
      </c>
      <c r="C5" s="10">
        <f>SUM(DATA_COST!D2:D121)</f>
        <v>20012400</v>
      </c>
      <c r="D5" s="10">
        <f>SUM(DATA_COST!F2:F121)</f>
        <v>311912</v>
      </c>
      <c r="E5" s="37">
        <f>IFERROR((C5-D5)/D5*100,0)</f>
        <v>6316.0404216573907</v>
      </c>
      <c r="F5" s="22">
        <f>COUNTIF(DATA_COST!H2:H121,"Over Budget")</f>
        <v>25</v>
      </c>
      <c r="G5" s="22">
        <f>COUNTIF(DATA_COST!H2:H121,"Under Budget")</f>
        <v>13</v>
      </c>
      <c r="H5" s="28" t="str">
        <f>IF(E5&gt;5,"🔴 Over Budget",IF(E5&lt;-5,"🟢 Under Budget","🟡 On Track"))</f>
        <v>🔴 Over Budget</v>
      </c>
      <c r="I5" t="str">
        <f>IF(E5&gt;5,"🔴 Over Budget",IF(E5&lt;-5,"🟢 Under Budget","🟡 On Track"))</f>
        <v>🔴 Over Budget</v>
      </c>
    </row>
    <row r="6" spans="1:9" ht="7.5" customHeight="1" x14ac:dyDescent="0.3"/>
    <row r="7" spans="1:9" ht="27.75" customHeight="1" x14ac:dyDescent="0.3">
      <c r="A7" s="29" t="s">
        <v>40</v>
      </c>
      <c r="B7" s="29" t="s">
        <v>41</v>
      </c>
      <c r="C7" s="29" t="s">
        <v>136</v>
      </c>
      <c r="D7" s="29" t="s">
        <v>137</v>
      </c>
      <c r="E7" s="29" t="s">
        <v>138</v>
      </c>
      <c r="F7" s="29" t="s">
        <v>139</v>
      </c>
      <c r="G7" s="29" t="s">
        <v>140</v>
      </c>
      <c r="H7" s="29" t="s">
        <v>141</v>
      </c>
    </row>
    <row r="8" spans="1:9" ht="18" customHeight="1" x14ac:dyDescent="0.3">
      <c r="A8" s="13">
        <v>1</v>
      </c>
      <c r="B8" s="13" t="str">
        <f>DATA_COST!B2</f>
        <v>Jan-2024</v>
      </c>
      <c r="C8" s="13" t="str">
        <f>DATA_COST!C2</f>
        <v>Salaries &amp; Wages</v>
      </c>
      <c r="D8" s="14">
        <f>DATA_COST!D2</f>
        <v>572000</v>
      </c>
      <c r="E8" s="14">
        <f>DATA_COST!E2</f>
        <v>582421</v>
      </c>
      <c r="F8" s="14">
        <f t="shared" ref="F8:F39" si="0">E8-D8</f>
        <v>10421</v>
      </c>
      <c r="G8" s="15">
        <f t="shared" ref="G8:G39" si="1">IFERROR(F8/D8*100,0)</f>
        <v>1.8218531468531469</v>
      </c>
      <c r="H8" s="13" t="str">
        <f t="shared" ref="H8:H39" si="2">IF(G8&gt;5,"🔴 Over Budget",IF(G8&lt;-5,"🟢 Under Budget","🟡 On Track"))</f>
        <v>🟡 On Track</v>
      </c>
    </row>
    <row r="9" spans="1:9" ht="18" customHeight="1" x14ac:dyDescent="0.3">
      <c r="A9" s="16">
        <v>2</v>
      </c>
      <c r="B9" s="16" t="str">
        <f>DATA_COST!B3</f>
        <v>Jan-2024</v>
      </c>
      <c r="C9" s="16" t="str">
        <f>DATA_COST!C3</f>
        <v>Vehicle Fuel &amp; Maintenance</v>
      </c>
      <c r="D9" s="17">
        <f>DATA_COST!D3</f>
        <v>246400</v>
      </c>
      <c r="E9" s="17">
        <f>DATA_COST!E3</f>
        <v>281763</v>
      </c>
      <c r="F9" s="17">
        <f t="shared" si="0"/>
        <v>35363</v>
      </c>
      <c r="G9" s="18">
        <f t="shared" si="1"/>
        <v>14.351866883116884</v>
      </c>
      <c r="H9" s="16" t="str">
        <f t="shared" si="2"/>
        <v>🔴 Over Budget</v>
      </c>
    </row>
    <row r="10" spans="1:9" ht="18" customHeight="1" x14ac:dyDescent="0.3">
      <c r="A10" s="13">
        <v>3</v>
      </c>
      <c r="B10" s="13" t="str">
        <f>DATA_COST!B4</f>
        <v>Jan-2024</v>
      </c>
      <c r="C10" s="13" t="str">
        <f>DATA_COST!C4</f>
        <v>Depot Rent &amp; Utilities</v>
      </c>
      <c r="D10" s="14">
        <f>DATA_COST!D4</f>
        <v>158400</v>
      </c>
      <c r="E10" s="14">
        <f>DATA_COST!E4</f>
        <v>160378</v>
      </c>
      <c r="F10" s="14">
        <f t="shared" si="0"/>
        <v>1978</v>
      </c>
      <c r="G10" s="15">
        <f t="shared" si="1"/>
        <v>1.2487373737373737</v>
      </c>
      <c r="H10" s="13" t="str">
        <f t="shared" si="2"/>
        <v>🟡 On Track</v>
      </c>
    </row>
    <row r="11" spans="1:9" ht="18" customHeight="1" x14ac:dyDescent="0.3">
      <c r="A11" s="16">
        <v>4</v>
      </c>
      <c r="B11" s="16" t="str">
        <f>DATA_COST!B5</f>
        <v>Jan-2024</v>
      </c>
      <c r="C11" s="16" t="str">
        <f>DATA_COST!C5</f>
        <v>Sales Incentives</v>
      </c>
      <c r="D11" s="17">
        <f>DATA_COST!D5</f>
        <v>105600</v>
      </c>
      <c r="E11" s="17">
        <f>DATA_COST!E5</f>
        <v>132760</v>
      </c>
      <c r="F11" s="17">
        <f t="shared" si="0"/>
        <v>27160</v>
      </c>
      <c r="G11" s="18">
        <f t="shared" si="1"/>
        <v>25.719696969696969</v>
      </c>
      <c r="H11" s="16" t="str">
        <f t="shared" si="2"/>
        <v>🔴 Over Budget</v>
      </c>
    </row>
    <row r="12" spans="1:9" ht="18" customHeight="1" x14ac:dyDescent="0.3">
      <c r="A12" s="13">
        <v>5</v>
      </c>
      <c r="B12" s="13" t="str">
        <f>DATA_COST!B6</f>
        <v>Jan-2024</v>
      </c>
      <c r="C12" s="13" t="str">
        <f>DATA_COST!C6</f>
        <v>Packaging &amp; Labelling</v>
      </c>
      <c r="D12" s="14">
        <f>DATA_COST!D6</f>
        <v>83600</v>
      </c>
      <c r="E12" s="14">
        <f>DATA_COST!E6</f>
        <v>87488</v>
      </c>
      <c r="F12" s="14">
        <f t="shared" si="0"/>
        <v>3888</v>
      </c>
      <c r="G12" s="15">
        <f t="shared" si="1"/>
        <v>4.6507177033492821</v>
      </c>
      <c r="H12" s="13" t="str">
        <f t="shared" si="2"/>
        <v>🟡 On Track</v>
      </c>
    </row>
    <row r="13" spans="1:9" ht="18" customHeight="1" x14ac:dyDescent="0.3">
      <c r="A13" s="16">
        <v>6</v>
      </c>
      <c r="B13" s="16" t="str">
        <f>DATA_COST!B7</f>
        <v>Jan-2024</v>
      </c>
      <c r="C13" s="16" t="str">
        <f>DATA_COST!C7</f>
        <v>Warehouse Operations</v>
      </c>
      <c r="D13" s="17">
        <f>DATA_COST!D7</f>
        <v>96800</v>
      </c>
      <c r="E13" s="17">
        <f>DATA_COST!E7</f>
        <v>90560</v>
      </c>
      <c r="F13" s="17">
        <f t="shared" si="0"/>
        <v>-6240</v>
      </c>
      <c r="G13" s="18">
        <f t="shared" si="1"/>
        <v>-6.446280991735537</v>
      </c>
      <c r="H13" s="16" t="str">
        <f t="shared" si="2"/>
        <v>🟢 Under Budget</v>
      </c>
    </row>
    <row r="14" spans="1:9" ht="18" customHeight="1" x14ac:dyDescent="0.3">
      <c r="A14" s="13">
        <v>7</v>
      </c>
      <c r="B14" s="13" t="str">
        <f>DATA_COST!B8</f>
        <v>Jan-2024</v>
      </c>
      <c r="C14" s="13" t="str">
        <f>DATA_COST!C8</f>
        <v>Office &amp; Admin</v>
      </c>
      <c r="D14" s="14">
        <f>DATA_COST!D8</f>
        <v>48400</v>
      </c>
      <c r="E14" s="14">
        <f>DATA_COST!E8</f>
        <v>50147</v>
      </c>
      <c r="F14" s="14">
        <f t="shared" si="0"/>
        <v>1747</v>
      </c>
      <c r="G14" s="15">
        <f t="shared" si="1"/>
        <v>3.6095041322314052</v>
      </c>
      <c r="H14" s="13" t="str">
        <f t="shared" si="2"/>
        <v>🟡 On Track</v>
      </c>
    </row>
    <row r="15" spans="1:9" ht="18" customHeight="1" x14ac:dyDescent="0.3">
      <c r="A15" s="16">
        <v>8</v>
      </c>
      <c r="B15" s="16" t="str">
        <f>DATA_COST!B9</f>
        <v>Jan-2024</v>
      </c>
      <c r="C15" s="16" t="str">
        <f>DATA_COST!C9</f>
        <v>Communication &amp; IT</v>
      </c>
      <c r="D15" s="17">
        <f>DATA_COST!D9</f>
        <v>35200</v>
      </c>
      <c r="E15" s="17">
        <f>DATA_COST!E9</f>
        <v>34471</v>
      </c>
      <c r="F15" s="17">
        <f t="shared" si="0"/>
        <v>-729</v>
      </c>
      <c r="G15" s="18">
        <f t="shared" si="1"/>
        <v>-2.0710227272727271</v>
      </c>
      <c r="H15" s="16" t="str">
        <f t="shared" si="2"/>
        <v>🟡 On Track</v>
      </c>
    </row>
    <row r="16" spans="1:9" ht="18" customHeight="1" x14ac:dyDescent="0.3">
      <c r="A16" s="13">
        <v>9</v>
      </c>
      <c r="B16" s="13" t="str">
        <f>DATA_COST!B10</f>
        <v>Jan-2024</v>
      </c>
      <c r="C16" s="13" t="str">
        <f>DATA_COST!C10</f>
        <v>Insurance &amp; Compliance</v>
      </c>
      <c r="D16" s="14">
        <f>DATA_COST!D10</f>
        <v>66000</v>
      </c>
      <c r="E16" s="14">
        <f>DATA_COST!E10</f>
        <v>66034</v>
      </c>
      <c r="F16" s="14">
        <f t="shared" si="0"/>
        <v>34</v>
      </c>
      <c r="G16" s="15">
        <f t="shared" si="1"/>
        <v>5.1515151515151514E-2</v>
      </c>
      <c r="H16" s="13" t="str">
        <f t="shared" si="2"/>
        <v>🟡 On Track</v>
      </c>
    </row>
    <row r="17" spans="1:8" ht="18" customHeight="1" x14ac:dyDescent="0.3">
      <c r="A17" s="16">
        <v>10</v>
      </c>
      <c r="B17" s="16" t="str">
        <f>DATA_COST!B11</f>
        <v>Jan-2024</v>
      </c>
      <c r="C17" s="16" t="str">
        <f>DATA_COST!C11</f>
        <v>Miscellaneous</v>
      </c>
      <c r="D17" s="17">
        <f>DATA_COST!D11</f>
        <v>26400</v>
      </c>
      <c r="E17" s="17">
        <f>DATA_COST!E11</f>
        <v>25283</v>
      </c>
      <c r="F17" s="17">
        <f t="shared" si="0"/>
        <v>-1117</v>
      </c>
      <c r="G17" s="18">
        <f t="shared" si="1"/>
        <v>-4.2310606060606064</v>
      </c>
      <c r="H17" s="16" t="str">
        <f t="shared" si="2"/>
        <v>🟡 On Track</v>
      </c>
    </row>
    <row r="18" spans="1:8" ht="18" customHeight="1" x14ac:dyDescent="0.3">
      <c r="A18" s="13">
        <v>11</v>
      </c>
      <c r="B18" s="13" t="str">
        <f>DATA_COST!B12</f>
        <v>Feb-2024</v>
      </c>
      <c r="C18" s="13" t="str">
        <f>DATA_COST!C12</f>
        <v>Salaries &amp; Wages</v>
      </c>
      <c r="D18" s="14">
        <f>DATA_COST!D12</f>
        <v>546000</v>
      </c>
      <c r="E18" s="14">
        <f>DATA_COST!E12</f>
        <v>539738</v>
      </c>
      <c r="F18" s="14">
        <f t="shared" si="0"/>
        <v>-6262</v>
      </c>
      <c r="G18" s="15">
        <f t="shared" si="1"/>
        <v>-1.1468864468864468</v>
      </c>
      <c r="H18" s="13" t="str">
        <f t="shared" si="2"/>
        <v>🟡 On Track</v>
      </c>
    </row>
    <row r="19" spans="1:8" ht="18" customHeight="1" x14ac:dyDescent="0.3">
      <c r="A19" s="16">
        <v>12</v>
      </c>
      <c r="B19" s="16" t="str">
        <f>DATA_COST!B13</f>
        <v>Feb-2024</v>
      </c>
      <c r="C19" s="16" t="str">
        <f>DATA_COST!C13</f>
        <v>Vehicle Fuel &amp; Maintenance</v>
      </c>
      <c r="D19" s="17">
        <f>DATA_COST!D13</f>
        <v>235200</v>
      </c>
      <c r="E19" s="17">
        <f>DATA_COST!E13</f>
        <v>234981</v>
      </c>
      <c r="F19" s="17">
        <f t="shared" si="0"/>
        <v>-219</v>
      </c>
      <c r="G19" s="18">
        <f t="shared" si="1"/>
        <v>-9.311224489795919E-2</v>
      </c>
      <c r="H19" s="16" t="str">
        <f t="shared" si="2"/>
        <v>🟡 On Track</v>
      </c>
    </row>
    <row r="20" spans="1:8" ht="18" customHeight="1" x14ac:dyDescent="0.3">
      <c r="A20" s="13">
        <v>13</v>
      </c>
      <c r="B20" s="13" t="str">
        <f>DATA_COST!B14</f>
        <v>Feb-2024</v>
      </c>
      <c r="C20" s="13" t="str">
        <f>DATA_COST!C14</f>
        <v>Depot Rent &amp; Utilities</v>
      </c>
      <c r="D20" s="14">
        <f>DATA_COST!D14</f>
        <v>151200</v>
      </c>
      <c r="E20" s="14">
        <f>DATA_COST!E14</f>
        <v>150810</v>
      </c>
      <c r="F20" s="14">
        <f t="shared" si="0"/>
        <v>-390</v>
      </c>
      <c r="G20" s="15">
        <f t="shared" si="1"/>
        <v>-0.25793650793650791</v>
      </c>
      <c r="H20" s="13" t="str">
        <f t="shared" si="2"/>
        <v>🟡 On Track</v>
      </c>
    </row>
    <row r="21" spans="1:8" ht="18" customHeight="1" x14ac:dyDescent="0.3">
      <c r="A21" s="16">
        <v>14</v>
      </c>
      <c r="B21" s="16" t="str">
        <f>DATA_COST!B15</f>
        <v>Feb-2024</v>
      </c>
      <c r="C21" s="16" t="str">
        <f>DATA_COST!C15</f>
        <v>Sales Incentives</v>
      </c>
      <c r="D21" s="17">
        <f>DATA_COST!D15</f>
        <v>100800</v>
      </c>
      <c r="E21" s="17">
        <f>DATA_COST!E15</f>
        <v>110007</v>
      </c>
      <c r="F21" s="17">
        <f t="shared" si="0"/>
        <v>9207</v>
      </c>
      <c r="G21" s="18">
        <f t="shared" si="1"/>
        <v>9.1339285714285712</v>
      </c>
      <c r="H21" s="16" t="str">
        <f t="shared" si="2"/>
        <v>🔴 Over Budget</v>
      </c>
    </row>
    <row r="22" spans="1:8" ht="18" customHeight="1" x14ac:dyDescent="0.3">
      <c r="A22" s="13">
        <v>15</v>
      </c>
      <c r="B22" s="13" t="str">
        <f>DATA_COST!B16</f>
        <v>Feb-2024</v>
      </c>
      <c r="C22" s="13" t="str">
        <f>DATA_COST!C16</f>
        <v>Packaging &amp; Labelling</v>
      </c>
      <c r="D22" s="14">
        <f>DATA_COST!D16</f>
        <v>79800</v>
      </c>
      <c r="E22" s="14">
        <f>DATA_COST!E16</f>
        <v>85356</v>
      </c>
      <c r="F22" s="14">
        <f t="shared" si="0"/>
        <v>5556</v>
      </c>
      <c r="G22" s="15">
        <f t="shared" si="1"/>
        <v>6.9624060150375939</v>
      </c>
      <c r="H22" s="13" t="str">
        <f t="shared" si="2"/>
        <v>🔴 Over Budget</v>
      </c>
    </row>
    <row r="23" spans="1:8" ht="18" customHeight="1" x14ac:dyDescent="0.3">
      <c r="A23" s="16">
        <v>16</v>
      </c>
      <c r="B23" s="16" t="str">
        <f>DATA_COST!B17</f>
        <v>Feb-2024</v>
      </c>
      <c r="C23" s="16" t="str">
        <f>DATA_COST!C17</f>
        <v>Warehouse Operations</v>
      </c>
      <c r="D23" s="17">
        <f>DATA_COST!D17</f>
        <v>92400</v>
      </c>
      <c r="E23" s="17">
        <f>DATA_COST!E17</f>
        <v>90352</v>
      </c>
      <c r="F23" s="17">
        <f t="shared" si="0"/>
        <v>-2048</v>
      </c>
      <c r="G23" s="18">
        <f t="shared" si="1"/>
        <v>-2.2164502164502164</v>
      </c>
      <c r="H23" s="16" t="str">
        <f t="shared" si="2"/>
        <v>🟡 On Track</v>
      </c>
    </row>
    <row r="24" spans="1:8" ht="18" customHeight="1" x14ac:dyDescent="0.3">
      <c r="A24" s="13">
        <v>17</v>
      </c>
      <c r="B24" s="13" t="str">
        <f>DATA_COST!B18</f>
        <v>Feb-2024</v>
      </c>
      <c r="C24" s="13" t="str">
        <f>DATA_COST!C18</f>
        <v>Office &amp; Admin</v>
      </c>
      <c r="D24" s="14">
        <f>DATA_COST!D18</f>
        <v>46200</v>
      </c>
      <c r="E24" s="14">
        <f>DATA_COST!E18</f>
        <v>45260</v>
      </c>
      <c r="F24" s="14">
        <f t="shared" si="0"/>
        <v>-940</v>
      </c>
      <c r="G24" s="15">
        <f t="shared" si="1"/>
        <v>-2.0346320346320343</v>
      </c>
      <c r="H24" s="13" t="str">
        <f t="shared" si="2"/>
        <v>🟡 On Track</v>
      </c>
    </row>
    <row r="25" spans="1:8" ht="18" customHeight="1" x14ac:dyDescent="0.3">
      <c r="A25" s="16">
        <v>18</v>
      </c>
      <c r="B25" s="16" t="str">
        <f>DATA_COST!B19</f>
        <v>Feb-2024</v>
      </c>
      <c r="C25" s="16" t="str">
        <f>DATA_COST!C19</f>
        <v>Communication &amp; IT</v>
      </c>
      <c r="D25" s="17">
        <f>DATA_COST!D19</f>
        <v>33600</v>
      </c>
      <c r="E25" s="17">
        <f>DATA_COST!E19</f>
        <v>34676</v>
      </c>
      <c r="F25" s="17">
        <f t="shared" si="0"/>
        <v>1076</v>
      </c>
      <c r="G25" s="18">
        <f t="shared" si="1"/>
        <v>3.2023809523809526</v>
      </c>
      <c r="H25" s="16" t="str">
        <f t="shared" si="2"/>
        <v>🟡 On Track</v>
      </c>
    </row>
    <row r="26" spans="1:8" ht="18" customHeight="1" x14ac:dyDescent="0.3">
      <c r="A26" s="13">
        <v>19</v>
      </c>
      <c r="B26" s="13" t="str">
        <f>DATA_COST!B20</f>
        <v>Feb-2024</v>
      </c>
      <c r="C26" s="13" t="str">
        <f>DATA_COST!C20</f>
        <v>Insurance &amp; Compliance</v>
      </c>
      <c r="D26" s="14">
        <f>DATA_COST!D20</f>
        <v>63000</v>
      </c>
      <c r="E26" s="14">
        <f>DATA_COST!E20</f>
        <v>63683</v>
      </c>
      <c r="F26" s="14">
        <f t="shared" si="0"/>
        <v>683</v>
      </c>
      <c r="G26" s="15">
        <f t="shared" si="1"/>
        <v>1.0841269841269841</v>
      </c>
      <c r="H26" s="13" t="str">
        <f t="shared" si="2"/>
        <v>🟡 On Track</v>
      </c>
    </row>
    <row r="27" spans="1:8" ht="18" customHeight="1" x14ac:dyDescent="0.3">
      <c r="A27" s="16">
        <v>20</v>
      </c>
      <c r="B27" s="16" t="str">
        <f>DATA_COST!B21</f>
        <v>Feb-2024</v>
      </c>
      <c r="C27" s="16" t="str">
        <f>DATA_COST!C21</f>
        <v>Miscellaneous</v>
      </c>
      <c r="D27" s="17">
        <f>DATA_COST!D21</f>
        <v>25200</v>
      </c>
      <c r="E27" s="17">
        <f>DATA_COST!E21</f>
        <v>29254</v>
      </c>
      <c r="F27" s="17">
        <f t="shared" si="0"/>
        <v>4054</v>
      </c>
      <c r="G27" s="18">
        <f t="shared" si="1"/>
        <v>16.087301587301585</v>
      </c>
      <c r="H27" s="16" t="str">
        <f t="shared" si="2"/>
        <v>🔴 Over Budget</v>
      </c>
    </row>
    <row r="28" spans="1:8" ht="18" customHeight="1" x14ac:dyDescent="0.3">
      <c r="A28" s="13">
        <v>21</v>
      </c>
      <c r="B28" s="13" t="str">
        <f>DATA_COST!B22</f>
        <v>Mar-2024</v>
      </c>
      <c r="C28" s="13" t="str">
        <f>DATA_COST!C22</f>
        <v>Salaries &amp; Wages</v>
      </c>
      <c r="D28" s="14">
        <f>DATA_COST!D22</f>
        <v>598000</v>
      </c>
      <c r="E28" s="14">
        <f>DATA_COST!E22</f>
        <v>580718</v>
      </c>
      <c r="F28" s="14">
        <f t="shared" si="0"/>
        <v>-17282</v>
      </c>
      <c r="G28" s="15">
        <f t="shared" si="1"/>
        <v>-2.8899665551839466</v>
      </c>
      <c r="H28" s="13" t="str">
        <f t="shared" si="2"/>
        <v>🟡 On Track</v>
      </c>
    </row>
    <row r="29" spans="1:8" ht="18" customHeight="1" x14ac:dyDescent="0.3">
      <c r="A29" s="16">
        <v>22</v>
      </c>
      <c r="B29" s="16" t="str">
        <f>DATA_COST!B23</f>
        <v>Mar-2024</v>
      </c>
      <c r="C29" s="16" t="str">
        <f>DATA_COST!C23</f>
        <v>Vehicle Fuel &amp; Maintenance</v>
      </c>
      <c r="D29" s="17">
        <f>DATA_COST!D23</f>
        <v>257600</v>
      </c>
      <c r="E29" s="17">
        <f>DATA_COST!E23</f>
        <v>287337</v>
      </c>
      <c r="F29" s="17">
        <f t="shared" si="0"/>
        <v>29737</v>
      </c>
      <c r="G29" s="18">
        <f t="shared" si="1"/>
        <v>11.543866459627329</v>
      </c>
      <c r="H29" s="16" t="str">
        <f t="shared" si="2"/>
        <v>🔴 Over Budget</v>
      </c>
    </row>
    <row r="30" spans="1:8" ht="18" customHeight="1" x14ac:dyDescent="0.3">
      <c r="A30" s="13">
        <v>23</v>
      </c>
      <c r="B30" s="13" t="str">
        <f>DATA_COST!B24</f>
        <v>Mar-2024</v>
      </c>
      <c r="C30" s="13" t="str">
        <f>DATA_COST!C24</f>
        <v>Depot Rent &amp; Utilities</v>
      </c>
      <c r="D30" s="14">
        <f>DATA_COST!D24</f>
        <v>165600</v>
      </c>
      <c r="E30" s="14">
        <f>DATA_COST!E24</f>
        <v>166257</v>
      </c>
      <c r="F30" s="14">
        <f t="shared" si="0"/>
        <v>657</v>
      </c>
      <c r="G30" s="15">
        <f t="shared" si="1"/>
        <v>0.39673913043478265</v>
      </c>
      <c r="H30" s="13" t="str">
        <f t="shared" si="2"/>
        <v>🟡 On Track</v>
      </c>
    </row>
    <row r="31" spans="1:8" ht="18" customHeight="1" x14ac:dyDescent="0.3">
      <c r="A31" s="16">
        <v>24</v>
      </c>
      <c r="B31" s="16" t="str">
        <f>DATA_COST!B25</f>
        <v>Mar-2024</v>
      </c>
      <c r="C31" s="16" t="str">
        <f>DATA_COST!C25</f>
        <v>Sales Incentives</v>
      </c>
      <c r="D31" s="17">
        <f>DATA_COST!D25</f>
        <v>110400</v>
      </c>
      <c r="E31" s="17">
        <f>DATA_COST!E25</f>
        <v>119872</v>
      </c>
      <c r="F31" s="17">
        <f t="shared" si="0"/>
        <v>9472</v>
      </c>
      <c r="G31" s="18">
        <f t="shared" si="1"/>
        <v>8.579710144927537</v>
      </c>
      <c r="H31" s="16" t="str">
        <f t="shared" si="2"/>
        <v>🔴 Over Budget</v>
      </c>
    </row>
    <row r="32" spans="1:8" ht="18" customHeight="1" x14ac:dyDescent="0.3">
      <c r="A32" s="13">
        <v>25</v>
      </c>
      <c r="B32" s="13" t="str">
        <f>DATA_COST!B26</f>
        <v>Mar-2024</v>
      </c>
      <c r="C32" s="13" t="str">
        <f>DATA_COST!C26</f>
        <v>Packaging &amp; Labelling</v>
      </c>
      <c r="D32" s="14">
        <f>DATA_COST!D26</f>
        <v>87400</v>
      </c>
      <c r="E32" s="14">
        <f>DATA_COST!E26</f>
        <v>81877</v>
      </c>
      <c r="F32" s="14">
        <f t="shared" si="0"/>
        <v>-5523</v>
      </c>
      <c r="G32" s="15">
        <f t="shared" si="1"/>
        <v>-6.3192219679633874</v>
      </c>
      <c r="H32" s="13" t="str">
        <f t="shared" si="2"/>
        <v>🟢 Under Budget</v>
      </c>
    </row>
    <row r="33" spans="1:8" ht="18" customHeight="1" x14ac:dyDescent="0.3">
      <c r="A33" s="16">
        <v>26</v>
      </c>
      <c r="B33" s="16" t="str">
        <f>DATA_COST!B27</f>
        <v>Mar-2024</v>
      </c>
      <c r="C33" s="16" t="str">
        <f>DATA_COST!C27</f>
        <v>Warehouse Operations</v>
      </c>
      <c r="D33" s="17">
        <f>DATA_COST!D27</f>
        <v>101200</v>
      </c>
      <c r="E33" s="17">
        <f>DATA_COST!E27</f>
        <v>101165</v>
      </c>
      <c r="F33" s="17">
        <f t="shared" si="0"/>
        <v>-35</v>
      </c>
      <c r="G33" s="18">
        <f t="shared" si="1"/>
        <v>-3.4584980237154152E-2</v>
      </c>
      <c r="H33" s="16" t="str">
        <f t="shared" si="2"/>
        <v>🟡 On Track</v>
      </c>
    </row>
    <row r="34" spans="1:8" ht="18" customHeight="1" x14ac:dyDescent="0.3">
      <c r="A34" s="13">
        <v>27</v>
      </c>
      <c r="B34" s="13" t="str">
        <f>DATA_COST!B28</f>
        <v>Mar-2024</v>
      </c>
      <c r="C34" s="13" t="str">
        <f>DATA_COST!C28</f>
        <v>Office &amp; Admin</v>
      </c>
      <c r="D34" s="14">
        <f>DATA_COST!D28</f>
        <v>50600</v>
      </c>
      <c r="E34" s="14">
        <f>DATA_COST!E28</f>
        <v>49634</v>
      </c>
      <c r="F34" s="14">
        <f t="shared" si="0"/>
        <v>-966</v>
      </c>
      <c r="G34" s="15">
        <f t="shared" si="1"/>
        <v>-1.9090909090909092</v>
      </c>
      <c r="H34" s="13" t="str">
        <f t="shared" si="2"/>
        <v>🟡 On Track</v>
      </c>
    </row>
    <row r="35" spans="1:8" ht="18" customHeight="1" x14ac:dyDescent="0.3">
      <c r="A35" s="16">
        <v>28</v>
      </c>
      <c r="B35" s="16" t="str">
        <f>DATA_COST!B29</f>
        <v>Mar-2024</v>
      </c>
      <c r="C35" s="16" t="str">
        <f>DATA_COST!C29</f>
        <v>Communication &amp; IT</v>
      </c>
      <c r="D35" s="17">
        <f>DATA_COST!D29</f>
        <v>36800</v>
      </c>
      <c r="E35" s="17">
        <f>DATA_COST!E29</f>
        <v>35883</v>
      </c>
      <c r="F35" s="17">
        <f t="shared" si="0"/>
        <v>-917</v>
      </c>
      <c r="G35" s="18">
        <f t="shared" si="1"/>
        <v>-2.4918478260869565</v>
      </c>
      <c r="H35" s="16" t="str">
        <f t="shared" si="2"/>
        <v>🟡 On Track</v>
      </c>
    </row>
    <row r="36" spans="1:8" ht="18" customHeight="1" x14ac:dyDescent="0.3">
      <c r="A36" s="13">
        <v>29</v>
      </c>
      <c r="B36" s="13" t="str">
        <f>DATA_COST!B30</f>
        <v>Mar-2024</v>
      </c>
      <c r="C36" s="13" t="str">
        <f>DATA_COST!C30</f>
        <v>Insurance &amp; Compliance</v>
      </c>
      <c r="D36" s="14">
        <f>DATA_COST!D30</f>
        <v>69000</v>
      </c>
      <c r="E36" s="14">
        <f>DATA_COST!E30</f>
        <v>69220</v>
      </c>
      <c r="F36" s="14">
        <f t="shared" si="0"/>
        <v>220</v>
      </c>
      <c r="G36" s="15">
        <f t="shared" si="1"/>
        <v>0.3188405797101449</v>
      </c>
      <c r="H36" s="13" t="str">
        <f t="shared" si="2"/>
        <v>🟡 On Track</v>
      </c>
    </row>
    <row r="37" spans="1:8" ht="18" customHeight="1" x14ac:dyDescent="0.3">
      <c r="A37" s="16">
        <v>30</v>
      </c>
      <c r="B37" s="16" t="str">
        <f>DATA_COST!B31</f>
        <v>Mar-2024</v>
      </c>
      <c r="C37" s="16" t="str">
        <f>DATA_COST!C31</f>
        <v>Miscellaneous</v>
      </c>
      <c r="D37" s="17">
        <f>DATA_COST!D31</f>
        <v>27600</v>
      </c>
      <c r="E37" s="17">
        <f>DATA_COST!E31</f>
        <v>31196</v>
      </c>
      <c r="F37" s="17">
        <f t="shared" si="0"/>
        <v>3596</v>
      </c>
      <c r="G37" s="18">
        <f t="shared" si="1"/>
        <v>13.028985507246377</v>
      </c>
      <c r="H37" s="16" t="str">
        <f t="shared" si="2"/>
        <v>🔴 Over Budget</v>
      </c>
    </row>
    <row r="38" spans="1:8" ht="18" customHeight="1" x14ac:dyDescent="0.3">
      <c r="A38" s="13">
        <v>31</v>
      </c>
      <c r="B38" s="13" t="str">
        <f>DATA_COST!B32</f>
        <v>Apr-2024</v>
      </c>
      <c r="C38" s="13" t="str">
        <f>DATA_COST!C32</f>
        <v>Salaries &amp; Wages</v>
      </c>
      <c r="D38" s="14">
        <f>DATA_COST!D32</f>
        <v>682500</v>
      </c>
      <c r="E38" s="14">
        <f>DATA_COST!E32</f>
        <v>697052</v>
      </c>
      <c r="F38" s="14">
        <f t="shared" si="0"/>
        <v>14552</v>
      </c>
      <c r="G38" s="15">
        <f t="shared" si="1"/>
        <v>2.1321611721611724</v>
      </c>
      <c r="H38" s="13" t="str">
        <f t="shared" si="2"/>
        <v>🟡 On Track</v>
      </c>
    </row>
    <row r="39" spans="1:8" ht="18" customHeight="1" x14ac:dyDescent="0.3">
      <c r="A39" s="16">
        <v>32</v>
      </c>
      <c r="B39" s="16" t="str">
        <f>DATA_COST!B33</f>
        <v>Apr-2024</v>
      </c>
      <c r="C39" s="16" t="str">
        <f>DATA_COST!C33</f>
        <v>Vehicle Fuel &amp; Maintenance</v>
      </c>
      <c r="D39" s="17">
        <f>DATA_COST!D33</f>
        <v>294000</v>
      </c>
      <c r="E39" s="17">
        <f>DATA_COST!E33</f>
        <v>306676</v>
      </c>
      <c r="F39" s="17">
        <f t="shared" si="0"/>
        <v>12676</v>
      </c>
      <c r="G39" s="18">
        <f t="shared" si="1"/>
        <v>4.3115646258503402</v>
      </c>
      <c r="H39" s="16" t="str">
        <f t="shared" si="2"/>
        <v>🟡 On Track</v>
      </c>
    </row>
    <row r="40" spans="1:8" ht="18" customHeight="1" x14ac:dyDescent="0.3">
      <c r="A40" s="13">
        <v>33</v>
      </c>
      <c r="B40" s="13" t="str">
        <f>DATA_COST!B34</f>
        <v>Apr-2024</v>
      </c>
      <c r="C40" s="13" t="str">
        <f>DATA_COST!C34</f>
        <v>Depot Rent &amp; Utilities</v>
      </c>
      <c r="D40" s="14">
        <f>DATA_COST!D34</f>
        <v>189000</v>
      </c>
      <c r="E40" s="14">
        <f>DATA_COST!E34</f>
        <v>189910</v>
      </c>
      <c r="F40" s="14">
        <f t="shared" ref="F40:F71" si="3">E40-D40</f>
        <v>910</v>
      </c>
      <c r="G40" s="15">
        <f t="shared" ref="G40:G71" si="4">IFERROR(F40/D40*100,0)</f>
        <v>0.48148148148148151</v>
      </c>
      <c r="H40" s="13" t="str">
        <f t="shared" ref="H40:H71" si="5">IF(G40&gt;5,"🔴 Over Budget",IF(G40&lt;-5,"🟢 Under Budget","🟡 On Track"))</f>
        <v>🟡 On Track</v>
      </c>
    </row>
    <row r="41" spans="1:8" ht="18" customHeight="1" x14ac:dyDescent="0.3">
      <c r="A41" s="16">
        <v>34</v>
      </c>
      <c r="B41" s="16" t="str">
        <f>DATA_COST!B35</f>
        <v>Apr-2024</v>
      </c>
      <c r="C41" s="16" t="str">
        <f>DATA_COST!C35</f>
        <v>Sales Incentives</v>
      </c>
      <c r="D41" s="17">
        <f>DATA_COST!D35</f>
        <v>126000</v>
      </c>
      <c r="E41" s="17">
        <f>DATA_COST!E35</f>
        <v>125567</v>
      </c>
      <c r="F41" s="17">
        <f t="shared" si="3"/>
        <v>-433</v>
      </c>
      <c r="G41" s="18">
        <f t="shared" si="4"/>
        <v>-0.34365079365079365</v>
      </c>
      <c r="H41" s="16" t="str">
        <f t="shared" si="5"/>
        <v>🟡 On Track</v>
      </c>
    </row>
    <row r="42" spans="1:8" ht="18" customHeight="1" x14ac:dyDescent="0.3">
      <c r="A42" s="13">
        <v>35</v>
      </c>
      <c r="B42" s="13" t="str">
        <f>DATA_COST!B36</f>
        <v>Apr-2024</v>
      </c>
      <c r="C42" s="13" t="str">
        <f>DATA_COST!C36</f>
        <v>Packaging &amp; Labelling</v>
      </c>
      <c r="D42" s="14">
        <f>DATA_COST!D36</f>
        <v>99750</v>
      </c>
      <c r="E42" s="14">
        <f>DATA_COST!E36</f>
        <v>109623</v>
      </c>
      <c r="F42" s="14">
        <f t="shared" si="3"/>
        <v>9873</v>
      </c>
      <c r="G42" s="15">
        <f t="shared" si="4"/>
        <v>9.8977443609022551</v>
      </c>
      <c r="H42" s="13" t="str">
        <f t="shared" si="5"/>
        <v>🔴 Over Budget</v>
      </c>
    </row>
    <row r="43" spans="1:8" ht="18" customHeight="1" x14ac:dyDescent="0.3">
      <c r="A43" s="16">
        <v>36</v>
      </c>
      <c r="B43" s="16" t="str">
        <f>DATA_COST!B37</f>
        <v>Apr-2024</v>
      </c>
      <c r="C43" s="16" t="str">
        <f>DATA_COST!C37</f>
        <v>Warehouse Operations</v>
      </c>
      <c r="D43" s="17">
        <f>DATA_COST!D37</f>
        <v>115500</v>
      </c>
      <c r="E43" s="17">
        <f>DATA_COST!E37</f>
        <v>117832</v>
      </c>
      <c r="F43" s="17">
        <f t="shared" si="3"/>
        <v>2332</v>
      </c>
      <c r="G43" s="18">
        <f t="shared" si="4"/>
        <v>2.019047619047619</v>
      </c>
      <c r="H43" s="16" t="str">
        <f t="shared" si="5"/>
        <v>🟡 On Track</v>
      </c>
    </row>
    <row r="44" spans="1:8" ht="18" customHeight="1" x14ac:dyDescent="0.3">
      <c r="A44" s="13">
        <v>37</v>
      </c>
      <c r="B44" s="13" t="str">
        <f>DATA_COST!B38</f>
        <v>Apr-2024</v>
      </c>
      <c r="C44" s="13" t="str">
        <f>DATA_COST!C38</f>
        <v>Office &amp; Admin</v>
      </c>
      <c r="D44" s="14">
        <f>DATA_COST!D38</f>
        <v>57750</v>
      </c>
      <c r="E44" s="14">
        <f>DATA_COST!E38</f>
        <v>56789</v>
      </c>
      <c r="F44" s="14">
        <f t="shared" si="3"/>
        <v>-961</v>
      </c>
      <c r="G44" s="15">
        <f t="shared" si="4"/>
        <v>-1.664069264069264</v>
      </c>
      <c r="H44" s="13" t="str">
        <f t="shared" si="5"/>
        <v>🟡 On Track</v>
      </c>
    </row>
    <row r="45" spans="1:8" ht="18" customHeight="1" x14ac:dyDescent="0.3">
      <c r="A45" s="16">
        <v>38</v>
      </c>
      <c r="B45" s="16" t="str">
        <f>DATA_COST!B39</f>
        <v>Apr-2024</v>
      </c>
      <c r="C45" s="16" t="str">
        <f>DATA_COST!C39</f>
        <v>Communication &amp; IT</v>
      </c>
      <c r="D45" s="17">
        <f>DATA_COST!D39</f>
        <v>42000</v>
      </c>
      <c r="E45" s="17">
        <f>DATA_COST!E39</f>
        <v>40814</v>
      </c>
      <c r="F45" s="17">
        <f t="shared" si="3"/>
        <v>-1186</v>
      </c>
      <c r="G45" s="18">
        <f t="shared" si="4"/>
        <v>-2.823809523809524</v>
      </c>
      <c r="H45" s="16" t="str">
        <f t="shared" si="5"/>
        <v>🟡 On Track</v>
      </c>
    </row>
    <row r="46" spans="1:8" ht="18" customHeight="1" x14ac:dyDescent="0.3">
      <c r="A46" s="13">
        <v>39</v>
      </c>
      <c r="B46" s="13" t="str">
        <f>DATA_COST!B40</f>
        <v>Apr-2024</v>
      </c>
      <c r="C46" s="13" t="str">
        <f>DATA_COST!C40</f>
        <v>Insurance &amp; Compliance</v>
      </c>
      <c r="D46" s="14">
        <f>DATA_COST!D40</f>
        <v>78750</v>
      </c>
      <c r="E46" s="14">
        <f>DATA_COST!E40</f>
        <v>79390</v>
      </c>
      <c r="F46" s="14">
        <f t="shared" si="3"/>
        <v>640</v>
      </c>
      <c r="G46" s="15">
        <f t="shared" si="4"/>
        <v>0.8126984126984127</v>
      </c>
      <c r="H46" s="13" t="str">
        <f t="shared" si="5"/>
        <v>🟡 On Track</v>
      </c>
    </row>
    <row r="47" spans="1:8" ht="18" customHeight="1" x14ac:dyDescent="0.3">
      <c r="A47" s="16">
        <v>40</v>
      </c>
      <c r="B47" s="16" t="str">
        <f>DATA_COST!B41</f>
        <v>Apr-2024</v>
      </c>
      <c r="C47" s="16" t="str">
        <f>DATA_COST!C41</f>
        <v>Miscellaneous</v>
      </c>
      <c r="D47" s="17">
        <f>DATA_COST!D41</f>
        <v>31500</v>
      </c>
      <c r="E47" s="17">
        <f>DATA_COST!E41</f>
        <v>32457</v>
      </c>
      <c r="F47" s="17">
        <f t="shared" si="3"/>
        <v>957</v>
      </c>
      <c r="G47" s="18">
        <f t="shared" si="4"/>
        <v>3.038095238095238</v>
      </c>
      <c r="H47" s="16" t="str">
        <f t="shared" si="5"/>
        <v>🟡 On Track</v>
      </c>
    </row>
    <row r="48" spans="1:8" ht="18" customHeight="1" x14ac:dyDescent="0.3">
      <c r="A48" s="13">
        <v>41</v>
      </c>
      <c r="B48" s="13" t="str">
        <f>DATA_COST!B42</f>
        <v>May-2024</v>
      </c>
      <c r="C48" s="13" t="str">
        <f>DATA_COST!C42</f>
        <v>Salaries &amp; Wages</v>
      </c>
      <c r="D48" s="14">
        <f>DATA_COST!D42</f>
        <v>715000</v>
      </c>
      <c r="E48" s="14">
        <f>DATA_COST!E42</f>
        <v>693930</v>
      </c>
      <c r="F48" s="14">
        <f t="shared" si="3"/>
        <v>-21070</v>
      </c>
      <c r="G48" s="15">
        <f t="shared" si="4"/>
        <v>-2.9468531468531469</v>
      </c>
      <c r="H48" s="13" t="str">
        <f t="shared" si="5"/>
        <v>🟡 On Track</v>
      </c>
    </row>
    <row r="49" spans="1:8" ht="18" customHeight="1" x14ac:dyDescent="0.3">
      <c r="A49" s="16">
        <v>42</v>
      </c>
      <c r="B49" s="16" t="str">
        <f>DATA_COST!B43</f>
        <v>May-2024</v>
      </c>
      <c r="C49" s="16" t="str">
        <f>DATA_COST!C43</f>
        <v>Vehicle Fuel &amp; Maintenance</v>
      </c>
      <c r="D49" s="17">
        <f>DATA_COST!D43</f>
        <v>308000</v>
      </c>
      <c r="E49" s="17">
        <f>DATA_COST!E43</f>
        <v>341602</v>
      </c>
      <c r="F49" s="17">
        <f t="shared" si="3"/>
        <v>33602</v>
      </c>
      <c r="G49" s="18">
        <f t="shared" si="4"/>
        <v>10.909740259740259</v>
      </c>
      <c r="H49" s="16" t="str">
        <f t="shared" si="5"/>
        <v>🔴 Over Budget</v>
      </c>
    </row>
    <row r="50" spans="1:8" ht="18" customHeight="1" x14ac:dyDescent="0.3">
      <c r="A50" s="13">
        <v>43</v>
      </c>
      <c r="B50" s="13" t="str">
        <f>DATA_COST!B44</f>
        <v>May-2024</v>
      </c>
      <c r="C50" s="13" t="str">
        <f>DATA_COST!C44</f>
        <v>Depot Rent &amp; Utilities</v>
      </c>
      <c r="D50" s="14">
        <f>DATA_COST!D44</f>
        <v>198000</v>
      </c>
      <c r="E50" s="14">
        <f>DATA_COST!E44</f>
        <v>200453</v>
      </c>
      <c r="F50" s="14">
        <f t="shared" si="3"/>
        <v>2453</v>
      </c>
      <c r="G50" s="15">
        <f t="shared" si="4"/>
        <v>1.2388888888888889</v>
      </c>
      <c r="H50" s="13" t="str">
        <f t="shared" si="5"/>
        <v>🟡 On Track</v>
      </c>
    </row>
    <row r="51" spans="1:8" ht="18" customHeight="1" x14ac:dyDescent="0.3">
      <c r="A51" s="16">
        <v>44</v>
      </c>
      <c r="B51" s="16" t="str">
        <f>DATA_COST!B45</f>
        <v>May-2024</v>
      </c>
      <c r="C51" s="16" t="str">
        <f>DATA_COST!C45</f>
        <v>Sales Incentives</v>
      </c>
      <c r="D51" s="17">
        <f>DATA_COST!D45</f>
        <v>132000</v>
      </c>
      <c r="E51" s="17">
        <f>DATA_COST!E45</f>
        <v>145786</v>
      </c>
      <c r="F51" s="17">
        <f t="shared" si="3"/>
        <v>13786</v>
      </c>
      <c r="G51" s="18">
        <f t="shared" si="4"/>
        <v>10.443939393939395</v>
      </c>
      <c r="H51" s="16" t="str">
        <f t="shared" si="5"/>
        <v>🔴 Over Budget</v>
      </c>
    </row>
    <row r="52" spans="1:8" ht="18" customHeight="1" x14ac:dyDescent="0.3">
      <c r="A52" s="13">
        <v>45</v>
      </c>
      <c r="B52" s="13" t="str">
        <f>DATA_COST!B46</f>
        <v>May-2024</v>
      </c>
      <c r="C52" s="13" t="str">
        <f>DATA_COST!C46</f>
        <v>Packaging &amp; Labelling</v>
      </c>
      <c r="D52" s="14">
        <f>DATA_COST!D46</f>
        <v>104500</v>
      </c>
      <c r="E52" s="14">
        <f>DATA_COST!E46</f>
        <v>97463</v>
      </c>
      <c r="F52" s="14">
        <f t="shared" si="3"/>
        <v>-7037</v>
      </c>
      <c r="G52" s="15">
        <f t="shared" si="4"/>
        <v>-6.7339712918660286</v>
      </c>
      <c r="H52" s="13" t="str">
        <f t="shared" si="5"/>
        <v>🟢 Under Budget</v>
      </c>
    </row>
    <row r="53" spans="1:8" ht="18" customHeight="1" x14ac:dyDescent="0.3">
      <c r="A53" s="16">
        <v>46</v>
      </c>
      <c r="B53" s="16" t="str">
        <f>DATA_COST!B47</f>
        <v>May-2024</v>
      </c>
      <c r="C53" s="16" t="str">
        <f>DATA_COST!C47</f>
        <v>Warehouse Operations</v>
      </c>
      <c r="D53" s="17">
        <f>DATA_COST!D47</f>
        <v>121000</v>
      </c>
      <c r="E53" s="17">
        <f>DATA_COST!E47</f>
        <v>119583</v>
      </c>
      <c r="F53" s="17">
        <f t="shared" si="3"/>
        <v>-1417</v>
      </c>
      <c r="G53" s="18">
        <f t="shared" si="4"/>
        <v>-1.1710743801652892</v>
      </c>
      <c r="H53" s="16" t="str">
        <f t="shared" si="5"/>
        <v>🟡 On Track</v>
      </c>
    </row>
    <row r="54" spans="1:8" ht="18" customHeight="1" x14ac:dyDescent="0.3">
      <c r="A54" s="13">
        <v>47</v>
      </c>
      <c r="B54" s="13" t="str">
        <f>DATA_COST!B48</f>
        <v>May-2024</v>
      </c>
      <c r="C54" s="13" t="str">
        <f>DATA_COST!C48</f>
        <v>Office &amp; Admin</v>
      </c>
      <c r="D54" s="14">
        <f>DATA_COST!D48</f>
        <v>60500</v>
      </c>
      <c r="E54" s="14">
        <f>DATA_COST!E48</f>
        <v>63286</v>
      </c>
      <c r="F54" s="14">
        <f t="shared" si="3"/>
        <v>2786</v>
      </c>
      <c r="G54" s="15">
        <f t="shared" si="4"/>
        <v>4.6049586776859508</v>
      </c>
      <c r="H54" s="13" t="str">
        <f t="shared" si="5"/>
        <v>🟡 On Track</v>
      </c>
    </row>
    <row r="55" spans="1:8" ht="18" customHeight="1" x14ac:dyDescent="0.3">
      <c r="A55" s="16">
        <v>48</v>
      </c>
      <c r="B55" s="16" t="str">
        <f>DATA_COST!B49</f>
        <v>May-2024</v>
      </c>
      <c r="C55" s="16" t="str">
        <f>DATA_COST!C49</f>
        <v>Communication &amp; IT</v>
      </c>
      <c r="D55" s="17">
        <f>DATA_COST!D49</f>
        <v>44000</v>
      </c>
      <c r="E55" s="17">
        <f>DATA_COST!E49</f>
        <v>46598</v>
      </c>
      <c r="F55" s="17">
        <f t="shared" si="3"/>
        <v>2598</v>
      </c>
      <c r="G55" s="18">
        <f t="shared" si="4"/>
        <v>5.9045454545454543</v>
      </c>
      <c r="H55" s="16" t="str">
        <f t="shared" si="5"/>
        <v>🔴 Over Budget</v>
      </c>
    </row>
    <row r="56" spans="1:8" ht="18" customHeight="1" x14ac:dyDescent="0.3">
      <c r="A56" s="13">
        <v>49</v>
      </c>
      <c r="B56" s="13" t="str">
        <f>DATA_COST!B50</f>
        <v>May-2024</v>
      </c>
      <c r="C56" s="13" t="str">
        <f>DATA_COST!C50</f>
        <v>Insurance &amp; Compliance</v>
      </c>
      <c r="D56" s="14">
        <f>DATA_COST!D50</f>
        <v>82500</v>
      </c>
      <c r="E56" s="14">
        <f>DATA_COST!E50</f>
        <v>81934</v>
      </c>
      <c r="F56" s="14">
        <f t="shared" si="3"/>
        <v>-566</v>
      </c>
      <c r="G56" s="15">
        <f t="shared" si="4"/>
        <v>-0.68606060606060615</v>
      </c>
      <c r="H56" s="13" t="str">
        <f t="shared" si="5"/>
        <v>🟡 On Track</v>
      </c>
    </row>
    <row r="57" spans="1:8" ht="18" customHeight="1" x14ac:dyDescent="0.3">
      <c r="A57" s="16">
        <v>50</v>
      </c>
      <c r="B57" s="16" t="str">
        <f>DATA_COST!B51</f>
        <v>May-2024</v>
      </c>
      <c r="C57" s="16" t="str">
        <f>DATA_COST!C51</f>
        <v>Miscellaneous</v>
      </c>
      <c r="D57" s="17">
        <f>DATA_COST!D51</f>
        <v>33000</v>
      </c>
      <c r="E57" s="17">
        <f>DATA_COST!E51</f>
        <v>29838</v>
      </c>
      <c r="F57" s="17">
        <f t="shared" si="3"/>
        <v>-3162</v>
      </c>
      <c r="G57" s="18">
        <f t="shared" si="4"/>
        <v>-9.581818181818182</v>
      </c>
      <c r="H57" s="16" t="str">
        <f t="shared" si="5"/>
        <v>🟢 Under Budget</v>
      </c>
    </row>
    <row r="58" spans="1:8" ht="18" customHeight="1" x14ac:dyDescent="0.3">
      <c r="A58" s="13">
        <v>51</v>
      </c>
      <c r="B58" s="13" t="str">
        <f>DATA_COST!B52</f>
        <v>Jun-2024</v>
      </c>
      <c r="C58" s="13" t="str">
        <f>DATA_COST!C52</f>
        <v>Salaries &amp; Wages</v>
      </c>
      <c r="D58" s="14">
        <f>DATA_COST!D52</f>
        <v>702000</v>
      </c>
      <c r="E58" s="14">
        <f>DATA_COST!E52</f>
        <v>702693</v>
      </c>
      <c r="F58" s="14">
        <f t="shared" si="3"/>
        <v>693</v>
      </c>
      <c r="G58" s="15">
        <f t="shared" si="4"/>
        <v>9.8717948717948728E-2</v>
      </c>
      <c r="H58" s="13" t="str">
        <f t="shared" si="5"/>
        <v>🟡 On Track</v>
      </c>
    </row>
    <row r="59" spans="1:8" ht="18" customHeight="1" x14ac:dyDescent="0.3">
      <c r="A59" s="16">
        <v>52</v>
      </c>
      <c r="B59" s="16" t="str">
        <f>DATA_COST!B53</f>
        <v>Jun-2024</v>
      </c>
      <c r="C59" s="16" t="str">
        <f>DATA_COST!C53</f>
        <v>Vehicle Fuel &amp; Maintenance</v>
      </c>
      <c r="D59" s="17">
        <f>DATA_COST!D53</f>
        <v>302400</v>
      </c>
      <c r="E59" s="17">
        <f>DATA_COST!E53</f>
        <v>295810</v>
      </c>
      <c r="F59" s="17">
        <f t="shared" si="3"/>
        <v>-6590</v>
      </c>
      <c r="G59" s="18">
        <f t="shared" si="4"/>
        <v>-2.1792328042328042</v>
      </c>
      <c r="H59" s="16" t="str">
        <f t="shared" si="5"/>
        <v>🟡 On Track</v>
      </c>
    </row>
    <row r="60" spans="1:8" ht="18" customHeight="1" x14ac:dyDescent="0.3">
      <c r="A60" s="13">
        <v>53</v>
      </c>
      <c r="B60" s="13" t="str">
        <f>DATA_COST!B54</f>
        <v>Jun-2024</v>
      </c>
      <c r="C60" s="13" t="str">
        <f>DATA_COST!C54</f>
        <v>Depot Rent &amp; Utilities</v>
      </c>
      <c r="D60" s="14">
        <f>DATA_COST!D54</f>
        <v>194400</v>
      </c>
      <c r="E60" s="14">
        <f>DATA_COST!E54</f>
        <v>196613</v>
      </c>
      <c r="F60" s="14">
        <f t="shared" si="3"/>
        <v>2213</v>
      </c>
      <c r="G60" s="15">
        <f t="shared" si="4"/>
        <v>1.1383744855967077</v>
      </c>
      <c r="H60" s="13" t="str">
        <f t="shared" si="5"/>
        <v>🟡 On Track</v>
      </c>
    </row>
    <row r="61" spans="1:8" ht="18" customHeight="1" x14ac:dyDescent="0.3">
      <c r="A61" s="16">
        <v>54</v>
      </c>
      <c r="B61" s="16" t="str">
        <f>DATA_COST!B55</f>
        <v>Jun-2024</v>
      </c>
      <c r="C61" s="16" t="str">
        <f>DATA_COST!C55</f>
        <v>Sales Incentives</v>
      </c>
      <c r="D61" s="17">
        <f>DATA_COST!D55</f>
        <v>129600</v>
      </c>
      <c r="E61" s="17">
        <f>DATA_COST!E55</f>
        <v>161295</v>
      </c>
      <c r="F61" s="17">
        <f t="shared" si="3"/>
        <v>31695</v>
      </c>
      <c r="G61" s="18">
        <f t="shared" si="4"/>
        <v>24.456018518518519</v>
      </c>
      <c r="H61" s="16" t="str">
        <f t="shared" si="5"/>
        <v>🔴 Over Budget</v>
      </c>
    </row>
    <row r="62" spans="1:8" ht="18" customHeight="1" x14ac:dyDescent="0.3">
      <c r="A62" s="13">
        <v>55</v>
      </c>
      <c r="B62" s="13" t="str">
        <f>DATA_COST!B56</f>
        <v>Jun-2024</v>
      </c>
      <c r="C62" s="13" t="str">
        <f>DATA_COST!C56</f>
        <v>Packaging &amp; Labelling</v>
      </c>
      <c r="D62" s="14">
        <f>DATA_COST!D56</f>
        <v>102600</v>
      </c>
      <c r="E62" s="14">
        <f>DATA_COST!E56</f>
        <v>101245</v>
      </c>
      <c r="F62" s="14">
        <f t="shared" si="3"/>
        <v>-1355</v>
      </c>
      <c r="G62" s="15">
        <f t="shared" si="4"/>
        <v>-1.3206627680311891</v>
      </c>
      <c r="H62" s="13" t="str">
        <f t="shared" si="5"/>
        <v>🟡 On Track</v>
      </c>
    </row>
    <row r="63" spans="1:8" ht="18" customHeight="1" x14ac:dyDescent="0.3">
      <c r="A63" s="16">
        <v>56</v>
      </c>
      <c r="B63" s="16" t="str">
        <f>DATA_COST!B57</f>
        <v>Jun-2024</v>
      </c>
      <c r="C63" s="16" t="str">
        <f>DATA_COST!C57</f>
        <v>Warehouse Operations</v>
      </c>
      <c r="D63" s="17">
        <f>DATA_COST!D57</f>
        <v>118800</v>
      </c>
      <c r="E63" s="17">
        <f>DATA_COST!E57</f>
        <v>111674</v>
      </c>
      <c r="F63" s="17">
        <f t="shared" si="3"/>
        <v>-7126</v>
      </c>
      <c r="G63" s="18">
        <f t="shared" si="4"/>
        <v>-5.9983164983164983</v>
      </c>
      <c r="H63" s="16" t="str">
        <f t="shared" si="5"/>
        <v>🟢 Under Budget</v>
      </c>
    </row>
    <row r="64" spans="1:8" ht="18" customHeight="1" x14ac:dyDescent="0.3">
      <c r="A64" s="13">
        <v>57</v>
      </c>
      <c r="B64" s="13" t="str">
        <f>DATA_COST!B58</f>
        <v>Jun-2024</v>
      </c>
      <c r="C64" s="13" t="str">
        <f>DATA_COST!C58</f>
        <v>Office &amp; Admin</v>
      </c>
      <c r="D64" s="14">
        <f>DATA_COST!D58</f>
        <v>59400</v>
      </c>
      <c r="E64" s="14">
        <f>DATA_COST!E58</f>
        <v>61929</v>
      </c>
      <c r="F64" s="14">
        <f t="shared" si="3"/>
        <v>2529</v>
      </c>
      <c r="G64" s="15">
        <f t="shared" si="4"/>
        <v>4.2575757575757569</v>
      </c>
      <c r="H64" s="13" t="str">
        <f t="shared" si="5"/>
        <v>🟡 On Track</v>
      </c>
    </row>
    <row r="65" spans="1:8" ht="18" customHeight="1" x14ac:dyDescent="0.3">
      <c r="A65" s="16">
        <v>58</v>
      </c>
      <c r="B65" s="16" t="str">
        <f>DATA_COST!B59</f>
        <v>Jun-2024</v>
      </c>
      <c r="C65" s="16" t="str">
        <f>DATA_COST!C59</f>
        <v>Communication &amp; IT</v>
      </c>
      <c r="D65" s="17">
        <f>DATA_COST!D59</f>
        <v>43200</v>
      </c>
      <c r="E65" s="17">
        <f>DATA_COST!E59</f>
        <v>40834</v>
      </c>
      <c r="F65" s="17">
        <f t="shared" si="3"/>
        <v>-2366</v>
      </c>
      <c r="G65" s="18">
        <f t="shared" si="4"/>
        <v>-5.4768518518518521</v>
      </c>
      <c r="H65" s="16" t="str">
        <f t="shared" si="5"/>
        <v>🟢 Under Budget</v>
      </c>
    </row>
    <row r="66" spans="1:8" ht="18" customHeight="1" x14ac:dyDescent="0.3">
      <c r="A66" s="13">
        <v>59</v>
      </c>
      <c r="B66" s="13" t="str">
        <f>DATA_COST!B60</f>
        <v>Jun-2024</v>
      </c>
      <c r="C66" s="13" t="str">
        <f>DATA_COST!C60</f>
        <v>Insurance &amp; Compliance</v>
      </c>
      <c r="D66" s="14">
        <f>DATA_COST!D60</f>
        <v>81000</v>
      </c>
      <c r="E66" s="14">
        <f>DATA_COST!E60</f>
        <v>82930</v>
      </c>
      <c r="F66" s="14">
        <f t="shared" si="3"/>
        <v>1930</v>
      </c>
      <c r="G66" s="15">
        <f t="shared" si="4"/>
        <v>2.382716049382716</v>
      </c>
      <c r="H66" s="13" t="str">
        <f t="shared" si="5"/>
        <v>🟡 On Track</v>
      </c>
    </row>
    <row r="67" spans="1:8" ht="18" customHeight="1" x14ac:dyDescent="0.3">
      <c r="A67" s="16">
        <v>60</v>
      </c>
      <c r="B67" s="16" t="str">
        <f>DATA_COST!B61</f>
        <v>Jun-2024</v>
      </c>
      <c r="C67" s="16" t="str">
        <f>DATA_COST!C61</f>
        <v>Miscellaneous</v>
      </c>
      <c r="D67" s="17">
        <f>DATA_COST!D61</f>
        <v>32400</v>
      </c>
      <c r="E67" s="17">
        <f>DATA_COST!E61</f>
        <v>34969</v>
      </c>
      <c r="F67" s="17">
        <f t="shared" si="3"/>
        <v>2569</v>
      </c>
      <c r="G67" s="18">
        <f t="shared" si="4"/>
        <v>7.9290123456790127</v>
      </c>
      <c r="H67" s="16" t="str">
        <f t="shared" si="5"/>
        <v>🔴 Over Budget</v>
      </c>
    </row>
    <row r="68" spans="1:8" ht="18" customHeight="1" x14ac:dyDescent="0.3">
      <c r="A68" s="13">
        <v>61</v>
      </c>
      <c r="B68" s="13" t="str">
        <f>DATA_COST!B62</f>
        <v>Jul-2024</v>
      </c>
      <c r="C68" s="13" t="str">
        <f>DATA_COST!C62</f>
        <v>Salaries &amp; Wages</v>
      </c>
      <c r="D68" s="14">
        <f>DATA_COST!D62</f>
        <v>617500</v>
      </c>
      <c r="E68" s="14">
        <f>DATA_COST!E62</f>
        <v>639098</v>
      </c>
      <c r="F68" s="14">
        <f t="shared" si="3"/>
        <v>21598</v>
      </c>
      <c r="G68" s="15">
        <f t="shared" si="4"/>
        <v>3.4976518218623478</v>
      </c>
      <c r="H68" s="13" t="str">
        <f t="shared" si="5"/>
        <v>🟡 On Track</v>
      </c>
    </row>
    <row r="69" spans="1:8" ht="18" customHeight="1" x14ac:dyDescent="0.3">
      <c r="A69" s="16">
        <v>62</v>
      </c>
      <c r="B69" s="16" t="str">
        <f>DATA_COST!B63</f>
        <v>Jul-2024</v>
      </c>
      <c r="C69" s="16" t="str">
        <f>DATA_COST!C63</f>
        <v>Vehicle Fuel &amp; Maintenance</v>
      </c>
      <c r="D69" s="17">
        <f>DATA_COST!D63</f>
        <v>266000</v>
      </c>
      <c r="E69" s="17">
        <f>DATA_COST!E63</f>
        <v>248738</v>
      </c>
      <c r="F69" s="17">
        <f t="shared" si="3"/>
        <v>-17262</v>
      </c>
      <c r="G69" s="18">
        <f t="shared" si="4"/>
        <v>-6.4894736842105267</v>
      </c>
      <c r="H69" s="16" t="str">
        <f t="shared" si="5"/>
        <v>🟢 Under Budget</v>
      </c>
    </row>
    <row r="70" spans="1:8" ht="18" customHeight="1" x14ac:dyDescent="0.3">
      <c r="A70" s="13">
        <v>63</v>
      </c>
      <c r="B70" s="13" t="str">
        <f>DATA_COST!B64</f>
        <v>Jul-2024</v>
      </c>
      <c r="C70" s="13" t="str">
        <f>DATA_COST!C64</f>
        <v>Depot Rent &amp; Utilities</v>
      </c>
      <c r="D70" s="14">
        <f>DATA_COST!D64</f>
        <v>171000</v>
      </c>
      <c r="E70" s="14">
        <f>DATA_COST!E64</f>
        <v>167900</v>
      </c>
      <c r="F70" s="14">
        <f t="shared" si="3"/>
        <v>-3100</v>
      </c>
      <c r="G70" s="15">
        <f t="shared" si="4"/>
        <v>-1.8128654970760234</v>
      </c>
      <c r="H70" s="13" t="str">
        <f t="shared" si="5"/>
        <v>🟡 On Track</v>
      </c>
    </row>
    <row r="71" spans="1:8" ht="18" customHeight="1" x14ac:dyDescent="0.3">
      <c r="A71" s="16">
        <v>64</v>
      </c>
      <c r="B71" s="16" t="str">
        <f>DATA_COST!B65</f>
        <v>Jul-2024</v>
      </c>
      <c r="C71" s="16" t="str">
        <f>DATA_COST!C65</f>
        <v>Sales Incentives</v>
      </c>
      <c r="D71" s="17">
        <f>DATA_COST!D65</f>
        <v>114000</v>
      </c>
      <c r="E71" s="17">
        <f>DATA_COST!E65</f>
        <v>116802</v>
      </c>
      <c r="F71" s="17">
        <f t="shared" si="3"/>
        <v>2802</v>
      </c>
      <c r="G71" s="18">
        <f t="shared" si="4"/>
        <v>2.4578947368421051</v>
      </c>
      <c r="H71" s="16" t="str">
        <f t="shared" si="5"/>
        <v>🟡 On Track</v>
      </c>
    </row>
    <row r="72" spans="1:8" ht="18" customHeight="1" x14ac:dyDescent="0.3">
      <c r="A72" s="13">
        <v>65</v>
      </c>
      <c r="B72" s="13" t="str">
        <f>DATA_COST!B66</f>
        <v>Jul-2024</v>
      </c>
      <c r="C72" s="13" t="str">
        <f>DATA_COST!C66</f>
        <v>Packaging &amp; Labelling</v>
      </c>
      <c r="D72" s="14">
        <f>DATA_COST!D66</f>
        <v>90250</v>
      </c>
      <c r="E72" s="14">
        <f>DATA_COST!E66</f>
        <v>90513</v>
      </c>
      <c r="F72" s="14">
        <f t="shared" ref="F72:F103" si="6">E72-D72</f>
        <v>263</v>
      </c>
      <c r="G72" s="15">
        <f t="shared" ref="G72:G103" si="7">IFERROR(F72/D72*100,0)</f>
        <v>0.29141274238227144</v>
      </c>
      <c r="H72" s="13" t="str">
        <f t="shared" ref="H72:H103" si="8">IF(G72&gt;5,"🔴 Over Budget",IF(G72&lt;-5,"🟢 Under Budget","🟡 On Track"))</f>
        <v>🟡 On Track</v>
      </c>
    </row>
    <row r="73" spans="1:8" ht="18" customHeight="1" x14ac:dyDescent="0.3">
      <c r="A73" s="16">
        <v>66</v>
      </c>
      <c r="B73" s="16" t="str">
        <f>DATA_COST!B67</f>
        <v>Jul-2024</v>
      </c>
      <c r="C73" s="16" t="str">
        <f>DATA_COST!C67</f>
        <v>Warehouse Operations</v>
      </c>
      <c r="D73" s="17">
        <f>DATA_COST!D67</f>
        <v>104500</v>
      </c>
      <c r="E73" s="17">
        <f>DATA_COST!E67</f>
        <v>102762</v>
      </c>
      <c r="F73" s="17">
        <f t="shared" si="6"/>
        <v>-1738</v>
      </c>
      <c r="G73" s="18">
        <f t="shared" si="7"/>
        <v>-1.6631578947368422</v>
      </c>
      <c r="H73" s="16" t="str">
        <f t="shared" si="8"/>
        <v>🟡 On Track</v>
      </c>
    </row>
    <row r="74" spans="1:8" ht="18" customHeight="1" x14ac:dyDescent="0.3">
      <c r="A74" s="13">
        <v>67</v>
      </c>
      <c r="B74" s="13" t="str">
        <f>DATA_COST!B68</f>
        <v>Jul-2024</v>
      </c>
      <c r="C74" s="13" t="str">
        <f>DATA_COST!C68</f>
        <v>Office &amp; Admin</v>
      </c>
      <c r="D74" s="14">
        <f>DATA_COST!D68</f>
        <v>52250</v>
      </c>
      <c r="E74" s="14">
        <f>DATA_COST!E68</f>
        <v>54763</v>
      </c>
      <c r="F74" s="14">
        <f t="shared" si="6"/>
        <v>2513</v>
      </c>
      <c r="G74" s="15">
        <f t="shared" si="7"/>
        <v>4.8095693779904307</v>
      </c>
      <c r="H74" s="13" t="str">
        <f t="shared" si="8"/>
        <v>🟡 On Track</v>
      </c>
    </row>
    <row r="75" spans="1:8" ht="18" customHeight="1" x14ac:dyDescent="0.3">
      <c r="A75" s="16">
        <v>68</v>
      </c>
      <c r="B75" s="16" t="str">
        <f>DATA_COST!B69</f>
        <v>Jul-2024</v>
      </c>
      <c r="C75" s="16" t="str">
        <f>DATA_COST!C69</f>
        <v>Communication &amp; IT</v>
      </c>
      <c r="D75" s="17">
        <f>DATA_COST!D69</f>
        <v>38000</v>
      </c>
      <c r="E75" s="17">
        <f>DATA_COST!E69</f>
        <v>40034</v>
      </c>
      <c r="F75" s="17">
        <f t="shared" si="6"/>
        <v>2034</v>
      </c>
      <c r="G75" s="18">
        <f t="shared" si="7"/>
        <v>5.3526315789473689</v>
      </c>
      <c r="H75" s="16" t="str">
        <f t="shared" si="8"/>
        <v>🔴 Over Budget</v>
      </c>
    </row>
    <row r="76" spans="1:8" ht="18" customHeight="1" x14ac:dyDescent="0.3">
      <c r="A76" s="13">
        <v>69</v>
      </c>
      <c r="B76" s="13" t="str">
        <f>DATA_COST!B70</f>
        <v>Jul-2024</v>
      </c>
      <c r="C76" s="13" t="str">
        <f>DATA_COST!C70</f>
        <v>Insurance &amp; Compliance</v>
      </c>
      <c r="D76" s="14">
        <f>DATA_COST!D70</f>
        <v>71250</v>
      </c>
      <c r="E76" s="14">
        <f>DATA_COST!E70</f>
        <v>71993</v>
      </c>
      <c r="F76" s="14">
        <f t="shared" si="6"/>
        <v>743</v>
      </c>
      <c r="G76" s="15">
        <f t="shared" si="7"/>
        <v>1.0428070175438597</v>
      </c>
      <c r="H76" s="13" t="str">
        <f t="shared" si="8"/>
        <v>🟡 On Track</v>
      </c>
    </row>
    <row r="77" spans="1:8" ht="18" customHeight="1" x14ac:dyDescent="0.3">
      <c r="A77" s="16">
        <v>70</v>
      </c>
      <c r="B77" s="16" t="str">
        <f>DATA_COST!B71</f>
        <v>Jul-2024</v>
      </c>
      <c r="C77" s="16" t="str">
        <f>DATA_COST!C71</f>
        <v>Miscellaneous</v>
      </c>
      <c r="D77" s="17">
        <f>DATA_COST!D71</f>
        <v>28500</v>
      </c>
      <c r="E77" s="17">
        <f>DATA_COST!E71</f>
        <v>25826</v>
      </c>
      <c r="F77" s="17">
        <f t="shared" si="6"/>
        <v>-2674</v>
      </c>
      <c r="G77" s="18">
        <f t="shared" si="7"/>
        <v>-9.382456140350877</v>
      </c>
      <c r="H77" s="16" t="str">
        <f t="shared" si="8"/>
        <v>🟢 Under Budget</v>
      </c>
    </row>
    <row r="78" spans="1:8" ht="18" customHeight="1" x14ac:dyDescent="0.3">
      <c r="A78" s="13">
        <v>71</v>
      </c>
      <c r="B78" s="13" t="str">
        <f>DATA_COST!B72</f>
        <v>Aug-2024</v>
      </c>
      <c r="C78" s="13" t="str">
        <f>DATA_COST!C72</f>
        <v>Salaries &amp; Wages</v>
      </c>
      <c r="D78" s="14">
        <f>DATA_COST!D72</f>
        <v>630500</v>
      </c>
      <c r="E78" s="14">
        <f>DATA_COST!E72</f>
        <v>643531</v>
      </c>
      <c r="F78" s="14">
        <f t="shared" si="6"/>
        <v>13031</v>
      </c>
      <c r="G78" s="15">
        <f t="shared" si="7"/>
        <v>2.0667724028548768</v>
      </c>
      <c r="H78" s="13" t="str">
        <f t="shared" si="8"/>
        <v>🟡 On Track</v>
      </c>
    </row>
    <row r="79" spans="1:8" ht="18" customHeight="1" x14ac:dyDescent="0.3">
      <c r="A79" s="16">
        <v>72</v>
      </c>
      <c r="B79" s="16" t="str">
        <f>DATA_COST!B73</f>
        <v>Aug-2024</v>
      </c>
      <c r="C79" s="16" t="str">
        <f>DATA_COST!C73</f>
        <v>Vehicle Fuel &amp; Maintenance</v>
      </c>
      <c r="D79" s="17">
        <f>DATA_COST!D73</f>
        <v>271600</v>
      </c>
      <c r="E79" s="17">
        <f>DATA_COST!E73</f>
        <v>293506</v>
      </c>
      <c r="F79" s="17">
        <f t="shared" si="6"/>
        <v>21906</v>
      </c>
      <c r="G79" s="18">
        <f t="shared" si="7"/>
        <v>8.0655375552282766</v>
      </c>
      <c r="H79" s="16" t="str">
        <f t="shared" si="8"/>
        <v>🔴 Over Budget</v>
      </c>
    </row>
    <row r="80" spans="1:8" ht="18" customHeight="1" x14ac:dyDescent="0.3">
      <c r="A80" s="13">
        <v>73</v>
      </c>
      <c r="B80" s="13" t="str">
        <f>DATA_COST!B74</f>
        <v>Aug-2024</v>
      </c>
      <c r="C80" s="13" t="str">
        <f>DATA_COST!C74</f>
        <v>Depot Rent &amp; Utilities</v>
      </c>
      <c r="D80" s="14">
        <f>DATA_COST!D74</f>
        <v>174600</v>
      </c>
      <c r="E80" s="14">
        <f>DATA_COST!E74</f>
        <v>174522</v>
      </c>
      <c r="F80" s="14">
        <f t="shared" si="6"/>
        <v>-78</v>
      </c>
      <c r="G80" s="15">
        <f t="shared" si="7"/>
        <v>-4.4673539518900345E-2</v>
      </c>
      <c r="H80" s="13" t="str">
        <f t="shared" si="8"/>
        <v>🟡 On Track</v>
      </c>
    </row>
    <row r="81" spans="1:8" ht="18" customHeight="1" x14ac:dyDescent="0.3">
      <c r="A81" s="16">
        <v>74</v>
      </c>
      <c r="B81" s="16" t="str">
        <f>DATA_COST!B75</f>
        <v>Aug-2024</v>
      </c>
      <c r="C81" s="16" t="str">
        <f>DATA_COST!C75</f>
        <v>Sales Incentives</v>
      </c>
      <c r="D81" s="17">
        <f>DATA_COST!D75</f>
        <v>116400</v>
      </c>
      <c r="E81" s="17">
        <f>DATA_COST!E75</f>
        <v>142637</v>
      </c>
      <c r="F81" s="17">
        <f t="shared" si="6"/>
        <v>26237</v>
      </c>
      <c r="G81" s="18">
        <f t="shared" si="7"/>
        <v>22.540378006872853</v>
      </c>
      <c r="H81" s="16" t="str">
        <f t="shared" si="8"/>
        <v>🔴 Over Budget</v>
      </c>
    </row>
    <row r="82" spans="1:8" ht="18" customHeight="1" x14ac:dyDescent="0.3">
      <c r="A82" s="13">
        <v>75</v>
      </c>
      <c r="B82" s="13" t="str">
        <f>DATA_COST!B76</f>
        <v>Aug-2024</v>
      </c>
      <c r="C82" s="13" t="str">
        <f>DATA_COST!C76</f>
        <v>Packaging &amp; Labelling</v>
      </c>
      <c r="D82" s="14">
        <f>DATA_COST!D76</f>
        <v>92150</v>
      </c>
      <c r="E82" s="14">
        <f>DATA_COST!E76</f>
        <v>87609</v>
      </c>
      <c r="F82" s="14">
        <f t="shared" si="6"/>
        <v>-4541</v>
      </c>
      <c r="G82" s="15">
        <f t="shared" si="7"/>
        <v>-4.927835051546392</v>
      </c>
      <c r="H82" s="13" t="str">
        <f t="shared" si="8"/>
        <v>🟡 On Track</v>
      </c>
    </row>
    <row r="83" spans="1:8" ht="18" customHeight="1" x14ac:dyDescent="0.3">
      <c r="A83" s="16">
        <v>76</v>
      </c>
      <c r="B83" s="16" t="str">
        <f>DATA_COST!B77</f>
        <v>Aug-2024</v>
      </c>
      <c r="C83" s="16" t="str">
        <f>DATA_COST!C77</f>
        <v>Warehouse Operations</v>
      </c>
      <c r="D83" s="17">
        <f>DATA_COST!D77</f>
        <v>106700</v>
      </c>
      <c r="E83" s="17">
        <f>DATA_COST!E77</f>
        <v>103824</v>
      </c>
      <c r="F83" s="17">
        <f t="shared" si="6"/>
        <v>-2876</v>
      </c>
      <c r="G83" s="18">
        <f t="shared" si="7"/>
        <v>-2.6954076850984068</v>
      </c>
      <c r="H83" s="16" t="str">
        <f t="shared" si="8"/>
        <v>🟡 On Track</v>
      </c>
    </row>
    <row r="84" spans="1:8" ht="18" customHeight="1" x14ac:dyDescent="0.3">
      <c r="A84" s="13">
        <v>77</v>
      </c>
      <c r="B84" s="13" t="str">
        <f>DATA_COST!B78</f>
        <v>Aug-2024</v>
      </c>
      <c r="C84" s="13" t="str">
        <f>DATA_COST!C78</f>
        <v>Office &amp; Admin</v>
      </c>
      <c r="D84" s="14">
        <f>DATA_COST!D78</f>
        <v>53350</v>
      </c>
      <c r="E84" s="14">
        <f>DATA_COST!E78</f>
        <v>51526</v>
      </c>
      <c r="F84" s="14">
        <f t="shared" si="6"/>
        <v>-1824</v>
      </c>
      <c r="G84" s="15">
        <f t="shared" si="7"/>
        <v>-3.4189315838800374</v>
      </c>
      <c r="H84" s="13" t="str">
        <f t="shared" si="8"/>
        <v>🟡 On Track</v>
      </c>
    </row>
    <row r="85" spans="1:8" ht="18" customHeight="1" x14ac:dyDescent="0.3">
      <c r="A85" s="16">
        <v>78</v>
      </c>
      <c r="B85" s="16" t="str">
        <f>DATA_COST!B79</f>
        <v>Aug-2024</v>
      </c>
      <c r="C85" s="16" t="str">
        <f>DATA_COST!C79</f>
        <v>Communication &amp; IT</v>
      </c>
      <c r="D85" s="17">
        <f>DATA_COST!D79</f>
        <v>38800</v>
      </c>
      <c r="E85" s="17">
        <f>DATA_COST!E79</f>
        <v>40731</v>
      </c>
      <c r="F85" s="17">
        <f t="shared" si="6"/>
        <v>1931</v>
      </c>
      <c r="G85" s="18">
        <f t="shared" si="7"/>
        <v>4.9768041237113403</v>
      </c>
      <c r="H85" s="16" t="str">
        <f t="shared" si="8"/>
        <v>🟡 On Track</v>
      </c>
    </row>
    <row r="86" spans="1:8" ht="18" customHeight="1" x14ac:dyDescent="0.3">
      <c r="A86" s="13">
        <v>79</v>
      </c>
      <c r="B86" s="13" t="str">
        <f>DATA_COST!B80</f>
        <v>Aug-2024</v>
      </c>
      <c r="C86" s="13" t="str">
        <f>DATA_COST!C80</f>
        <v>Insurance &amp; Compliance</v>
      </c>
      <c r="D86" s="14">
        <f>DATA_COST!D80</f>
        <v>72750</v>
      </c>
      <c r="E86" s="14">
        <f>DATA_COST!E80</f>
        <v>73376</v>
      </c>
      <c r="F86" s="14">
        <f t="shared" si="6"/>
        <v>626</v>
      </c>
      <c r="G86" s="15">
        <f t="shared" si="7"/>
        <v>0.86048109965635744</v>
      </c>
      <c r="H86" s="13" t="str">
        <f t="shared" si="8"/>
        <v>🟡 On Track</v>
      </c>
    </row>
    <row r="87" spans="1:8" ht="18" customHeight="1" x14ac:dyDescent="0.3">
      <c r="A87" s="16">
        <v>80</v>
      </c>
      <c r="B87" s="16" t="str">
        <f>DATA_COST!B81</f>
        <v>Aug-2024</v>
      </c>
      <c r="C87" s="16" t="str">
        <f>DATA_COST!C81</f>
        <v>Miscellaneous</v>
      </c>
      <c r="D87" s="17">
        <f>DATA_COST!D81</f>
        <v>29100</v>
      </c>
      <c r="E87" s="17">
        <f>DATA_COST!E81</f>
        <v>27897</v>
      </c>
      <c r="F87" s="17">
        <f t="shared" si="6"/>
        <v>-1203</v>
      </c>
      <c r="G87" s="18">
        <f t="shared" si="7"/>
        <v>-4.1340206185567014</v>
      </c>
      <c r="H87" s="16" t="str">
        <f t="shared" si="8"/>
        <v>🟡 On Track</v>
      </c>
    </row>
    <row r="88" spans="1:8" ht="18" customHeight="1" x14ac:dyDescent="0.3">
      <c r="A88" s="13">
        <v>81</v>
      </c>
      <c r="B88" s="13" t="str">
        <f>DATA_COST!B82</f>
        <v>Sep-2024</v>
      </c>
      <c r="C88" s="13" t="str">
        <f>DATA_COST!C82</f>
        <v>Salaries &amp; Wages</v>
      </c>
      <c r="D88" s="14">
        <f>DATA_COST!D82</f>
        <v>650000</v>
      </c>
      <c r="E88" s="14">
        <f>DATA_COST!E82</f>
        <v>637847</v>
      </c>
      <c r="F88" s="14">
        <f t="shared" si="6"/>
        <v>-12153</v>
      </c>
      <c r="G88" s="15">
        <f t="shared" si="7"/>
        <v>-1.8696923076923075</v>
      </c>
      <c r="H88" s="13" t="str">
        <f t="shared" si="8"/>
        <v>🟡 On Track</v>
      </c>
    </row>
    <row r="89" spans="1:8" ht="18" customHeight="1" x14ac:dyDescent="0.3">
      <c r="A89" s="16">
        <v>82</v>
      </c>
      <c r="B89" s="16" t="str">
        <f>DATA_COST!B83</f>
        <v>Sep-2024</v>
      </c>
      <c r="C89" s="16" t="str">
        <f>DATA_COST!C83</f>
        <v>Vehicle Fuel &amp; Maintenance</v>
      </c>
      <c r="D89" s="17">
        <f>DATA_COST!D83</f>
        <v>280000</v>
      </c>
      <c r="E89" s="17">
        <f>DATA_COST!E83</f>
        <v>249503</v>
      </c>
      <c r="F89" s="17">
        <f t="shared" si="6"/>
        <v>-30497</v>
      </c>
      <c r="G89" s="18">
        <f t="shared" si="7"/>
        <v>-10.891785714285716</v>
      </c>
      <c r="H89" s="16" t="str">
        <f t="shared" si="8"/>
        <v>🟢 Under Budget</v>
      </c>
    </row>
    <row r="90" spans="1:8" ht="18" customHeight="1" x14ac:dyDescent="0.3">
      <c r="A90" s="13">
        <v>83</v>
      </c>
      <c r="B90" s="13" t="str">
        <f>DATA_COST!B84</f>
        <v>Sep-2024</v>
      </c>
      <c r="C90" s="13" t="str">
        <f>DATA_COST!C84</f>
        <v>Depot Rent &amp; Utilities</v>
      </c>
      <c r="D90" s="14">
        <f>DATA_COST!D84</f>
        <v>180000</v>
      </c>
      <c r="E90" s="14">
        <f>DATA_COST!E84</f>
        <v>177781</v>
      </c>
      <c r="F90" s="14">
        <f t="shared" si="6"/>
        <v>-2219</v>
      </c>
      <c r="G90" s="15">
        <f t="shared" si="7"/>
        <v>-1.2327777777777778</v>
      </c>
      <c r="H90" s="13" t="str">
        <f t="shared" si="8"/>
        <v>🟡 On Track</v>
      </c>
    </row>
    <row r="91" spans="1:8" ht="18" customHeight="1" x14ac:dyDescent="0.3">
      <c r="A91" s="16">
        <v>84</v>
      </c>
      <c r="B91" s="16" t="str">
        <f>DATA_COST!B85</f>
        <v>Sep-2024</v>
      </c>
      <c r="C91" s="16" t="str">
        <f>DATA_COST!C85</f>
        <v>Sales Incentives</v>
      </c>
      <c r="D91" s="17">
        <f>DATA_COST!D85</f>
        <v>120000</v>
      </c>
      <c r="E91" s="17">
        <f>DATA_COST!E85</f>
        <v>121021</v>
      </c>
      <c r="F91" s="17">
        <f t="shared" si="6"/>
        <v>1021</v>
      </c>
      <c r="G91" s="18">
        <f t="shared" si="7"/>
        <v>0.85083333333333333</v>
      </c>
      <c r="H91" s="16" t="str">
        <f t="shared" si="8"/>
        <v>🟡 On Track</v>
      </c>
    </row>
    <row r="92" spans="1:8" ht="18" customHeight="1" x14ac:dyDescent="0.3">
      <c r="A92" s="13">
        <v>85</v>
      </c>
      <c r="B92" s="13" t="str">
        <f>DATA_COST!B86</f>
        <v>Sep-2024</v>
      </c>
      <c r="C92" s="13" t="str">
        <f>DATA_COST!C86</f>
        <v>Packaging &amp; Labelling</v>
      </c>
      <c r="D92" s="14">
        <f>DATA_COST!D86</f>
        <v>95000</v>
      </c>
      <c r="E92" s="14">
        <f>DATA_COST!E86</f>
        <v>91721</v>
      </c>
      <c r="F92" s="14">
        <f t="shared" si="6"/>
        <v>-3279</v>
      </c>
      <c r="G92" s="15">
        <f t="shared" si="7"/>
        <v>-3.4515789473684206</v>
      </c>
      <c r="H92" s="13" t="str">
        <f t="shared" si="8"/>
        <v>🟡 On Track</v>
      </c>
    </row>
    <row r="93" spans="1:8" ht="18" customHeight="1" x14ac:dyDescent="0.3">
      <c r="A93" s="16">
        <v>86</v>
      </c>
      <c r="B93" s="16" t="str">
        <f>DATA_COST!B87</f>
        <v>Sep-2024</v>
      </c>
      <c r="C93" s="16" t="str">
        <f>DATA_COST!C87</f>
        <v>Warehouse Operations</v>
      </c>
      <c r="D93" s="17">
        <f>DATA_COST!D87</f>
        <v>110000</v>
      </c>
      <c r="E93" s="17">
        <f>DATA_COST!E87</f>
        <v>106887</v>
      </c>
      <c r="F93" s="17">
        <f t="shared" si="6"/>
        <v>-3113</v>
      </c>
      <c r="G93" s="18">
        <f t="shared" si="7"/>
        <v>-2.83</v>
      </c>
      <c r="H93" s="16" t="str">
        <f t="shared" si="8"/>
        <v>🟡 On Track</v>
      </c>
    </row>
    <row r="94" spans="1:8" ht="18" customHeight="1" x14ac:dyDescent="0.3">
      <c r="A94" s="13">
        <v>87</v>
      </c>
      <c r="B94" s="13" t="str">
        <f>DATA_COST!B88</f>
        <v>Sep-2024</v>
      </c>
      <c r="C94" s="13" t="str">
        <f>DATA_COST!C88</f>
        <v>Office &amp; Admin</v>
      </c>
      <c r="D94" s="14">
        <f>DATA_COST!D88</f>
        <v>55000</v>
      </c>
      <c r="E94" s="14">
        <f>DATA_COST!E88</f>
        <v>57230</v>
      </c>
      <c r="F94" s="14">
        <f t="shared" si="6"/>
        <v>2230</v>
      </c>
      <c r="G94" s="15">
        <f t="shared" si="7"/>
        <v>4.0545454545454547</v>
      </c>
      <c r="H94" s="13" t="str">
        <f t="shared" si="8"/>
        <v>🟡 On Track</v>
      </c>
    </row>
    <row r="95" spans="1:8" ht="18" customHeight="1" x14ac:dyDescent="0.3">
      <c r="A95" s="16">
        <v>88</v>
      </c>
      <c r="B95" s="16" t="str">
        <f>DATA_COST!B89</f>
        <v>Sep-2024</v>
      </c>
      <c r="C95" s="16" t="str">
        <f>DATA_COST!C89</f>
        <v>Communication &amp; IT</v>
      </c>
      <c r="D95" s="17">
        <f>DATA_COST!D89</f>
        <v>40000</v>
      </c>
      <c r="E95" s="17">
        <f>DATA_COST!E89</f>
        <v>40444</v>
      </c>
      <c r="F95" s="17">
        <f t="shared" si="6"/>
        <v>444</v>
      </c>
      <c r="G95" s="18">
        <f t="shared" si="7"/>
        <v>1.1100000000000001</v>
      </c>
      <c r="H95" s="16" t="str">
        <f t="shared" si="8"/>
        <v>🟡 On Track</v>
      </c>
    </row>
    <row r="96" spans="1:8" ht="18" customHeight="1" x14ac:dyDescent="0.3">
      <c r="A96" s="13">
        <v>89</v>
      </c>
      <c r="B96" s="13" t="str">
        <f>DATA_COST!B90</f>
        <v>Sep-2024</v>
      </c>
      <c r="C96" s="13" t="str">
        <f>DATA_COST!C90</f>
        <v>Insurance &amp; Compliance</v>
      </c>
      <c r="D96" s="14">
        <f>DATA_COST!D90</f>
        <v>75000</v>
      </c>
      <c r="E96" s="14">
        <f>DATA_COST!E90</f>
        <v>76016</v>
      </c>
      <c r="F96" s="14">
        <f t="shared" si="6"/>
        <v>1016</v>
      </c>
      <c r="G96" s="15">
        <f t="shared" si="7"/>
        <v>1.3546666666666667</v>
      </c>
      <c r="H96" s="13" t="str">
        <f t="shared" si="8"/>
        <v>🟡 On Track</v>
      </c>
    </row>
    <row r="97" spans="1:8" ht="18" customHeight="1" x14ac:dyDescent="0.3">
      <c r="A97" s="16">
        <v>90</v>
      </c>
      <c r="B97" s="16" t="str">
        <f>DATA_COST!B91</f>
        <v>Sep-2024</v>
      </c>
      <c r="C97" s="16" t="str">
        <f>DATA_COST!C91</f>
        <v>Miscellaneous</v>
      </c>
      <c r="D97" s="17">
        <f>DATA_COST!D91</f>
        <v>30000</v>
      </c>
      <c r="E97" s="17">
        <f>DATA_COST!E91</f>
        <v>25870</v>
      </c>
      <c r="F97" s="17">
        <f t="shared" si="6"/>
        <v>-4130</v>
      </c>
      <c r="G97" s="18">
        <f t="shared" si="7"/>
        <v>-13.766666666666666</v>
      </c>
      <c r="H97" s="16" t="str">
        <f t="shared" si="8"/>
        <v>🟢 Under Budget</v>
      </c>
    </row>
    <row r="98" spans="1:8" ht="18" customHeight="1" x14ac:dyDescent="0.3">
      <c r="A98" s="13">
        <v>91</v>
      </c>
      <c r="B98" s="13" t="str">
        <f>DATA_COST!B92</f>
        <v>Oct-2024</v>
      </c>
      <c r="C98" s="13" t="str">
        <f>DATA_COST!C92</f>
        <v>Salaries &amp; Wages</v>
      </c>
      <c r="D98" s="14">
        <f>DATA_COST!D92</f>
        <v>767000</v>
      </c>
      <c r="E98" s="14">
        <f>DATA_COST!E92</f>
        <v>763316</v>
      </c>
      <c r="F98" s="14">
        <f t="shared" si="6"/>
        <v>-3684</v>
      </c>
      <c r="G98" s="15">
        <f t="shared" si="7"/>
        <v>-0.48031290743155153</v>
      </c>
      <c r="H98" s="13" t="str">
        <f t="shared" si="8"/>
        <v>🟡 On Track</v>
      </c>
    </row>
    <row r="99" spans="1:8" ht="18" customHeight="1" x14ac:dyDescent="0.3">
      <c r="A99" s="16">
        <v>92</v>
      </c>
      <c r="B99" s="16" t="str">
        <f>DATA_COST!B93</f>
        <v>Oct-2024</v>
      </c>
      <c r="C99" s="16" t="str">
        <f>DATA_COST!C93</f>
        <v>Vehicle Fuel &amp; Maintenance</v>
      </c>
      <c r="D99" s="17">
        <f>DATA_COST!D93</f>
        <v>330400</v>
      </c>
      <c r="E99" s="17">
        <f>DATA_COST!E93</f>
        <v>334448</v>
      </c>
      <c r="F99" s="17">
        <f t="shared" si="6"/>
        <v>4048</v>
      </c>
      <c r="G99" s="18">
        <f t="shared" si="7"/>
        <v>1.2251815980629541</v>
      </c>
      <c r="H99" s="16" t="str">
        <f t="shared" si="8"/>
        <v>🟡 On Track</v>
      </c>
    </row>
    <row r="100" spans="1:8" ht="18" customHeight="1" x14ac:dyDescent="0.3">
      <c r="A100" s="13">
        <v>93</v>
      </c>
      <c r="B100" s="13" t="str">
        <f>DATA_COST!B94</f>
        <v>Oct-2024</v>
      </c>
      <c r="C100" s="13" t="str">
        <f>DATA_COST!C94</f>
        <v>Depot Rent &amp; Utilities</v>
      </c>
      <c r="D100" s="14">
        <f>DATA_COST!D94</f>
        <v>212400</v>
      </c>
      <c r="E100" s="14">
        <f>DATA_COST!E94</f>
        <v>209973</v>
      </c>
      <c r="F100" s="14">
        <f t="shared" si="6"/>
        <v>-2427</v>
      </c>
      <c r="G100" s="15">
        <f t="shared" si="7"/>
        <v>-1.1426553672316384</v>
      </c>
      <c r="H100" s="13" t="str">
        <f t="shared" si="8"/>
        <v>🟡 On Track</v>
      </c>
    </row>
    <row r="101" spans="1:8" ht="18" customHeight="1" x14ac:dyDescent="0.3">
      <c r="A101" s="16">
        <v>94</v>
      </c>
      <c r="B101" s="16" t="str">
        <f>DATA_COST!B95</f>
        <v>Oct-2024</v>
      </c>
      <c r="C101" s="16" t="str">
        <f>DATA_COST!C95</f>
        <v>Sales Incentives</v>
      </c>
      <c r="D101" s="17">
        <f>DATA_COST!D95</f>
        <v>141600</v>
      </c>
      <c r="E101" s="17">
        <f>DATA_COST!E95</f>
        <v>121109</v>
      </c>
      <c r="F101" s="17">
        <f t="shared" si="6"/>
        <v>-20491</v>
      </c>
      <c r="G101" s="18">
        <f t="shared" si="7"/>
        <v>-14.471045197740112</v>
      </c>
      <c r="H101" s="16" t="str">
        <f t="shared" si="8"/>
        <v>🟢 Under Budget</v>
      </c>
    </row>
    <row r="102" spans="1:8" ht="18" customHeight="1" x14ac:dyDescent="0.3">
      <c r="A102" s="13">
        <v>95</v>
      </c>
      <c r="B102" s="13" t="str">
        <f>DATA_COST!B96</f>
        <v>Oct-2024</v>
      </c>
      <c r="C102" s="13" t="str">
        <f>DATA_COST!C96</f>
        <v>Packaging &amp; Labelling</v>
      </c>
      <c r="D102" s="14">
        <f>DATA_COST!D96</f>
        <v>112100</v>
      </c>
      <c r="E102" s="14">
        <f>DATA_COST!E96</f>
        <v>121083</v>
      </c>
      <c r="F102" s="14">
        <f t="shared" si="6"/>
        <v>8983</v>
      </c>
      <c r="G102" s="15">
        <f t="shared" si="7"/>
        <v>8.0133809099018745</v>
      </c>
      <c r="H102" s="13" t="str">
        <f t="shared" si="8"/>
        <v>🔴 Over Budget</v>
      </c>
    </row>
    <row r="103" spans="1:8" ht="18" customHeight="1" x14ac:dyDescent="0.3">
      <c r="A103" s="16">
        <v>96</v>
      </c>
      <c r="B103" s="16" t="str">
        <f>DATA_COST!B97</f>
        <v>Oct-2024</v>
      </c>
      <c r="C103" s="16" t="str">
        <f>DATA_COST!C97</f>
        <v>Warehouse Operations</v>
      </c>
      <c r="D103" s="17">
        <f>DATA_COST!D97</f>
        <v>129800</v>
      </c>
      <c r="E103" s="17">
        <f>DATA_COST!E97</f>
        <v>140346</v>
      </c>
      <c r="F103" s="17">
        <f t="shared" si="6"/>
        <v>10546</v>
      </c>
      <c r="G103" s="18">
        <f t="shared" si="7"/>
        <v>8.1248073959938374</v>
      </c>
      <c r="H103" s="16" t="str">
        <f t="shared" si="8"/>
        <v>🔴 Over Budget</v>
      </c>
    </row>
    <row r="104" spans="1:8" ht="18" customHeight="1" x14ac:dyDescent="0.3">
      <c r="A104" s="13">
        <v>97</v>
      </c>
      <c r="B104" s="13" t="str">
        <f>DATA_COST!B98</f>
        <v>Oct-2024</v>
      </c>
      <c r="C104" s="13" t="str">
        <f>DATA_COST!C98</f>
        <v>Office &amp; Admin</v>
      </c>
      <c r="D104" s="14">
        <f>DATA_COST!D98</f>
        <v>64900</v>
      </c>
      <c r="E104" s="14">
        <f>DATA_COST!E98</f>
        <v>62775</v>
      </c>
      <c r="F104" s="14">
        <f t="shared" ref="F104:F127" si="9">E104-D104</f>
        <v>-2125</v>
      </c>
      <c r="G104" s="15">
        <f t="shared" ref="G104:G128" si="10">IFERROR(F104/D104*100,0)</f>
        <v>-3.2742681047765796</v>
      </c>
      <c r="H104" s="13" t="str">
        <f t="shared" ref="H104:H127" si="11">IF(G104&gt;5,"🔴 Over Budget",IF(G104&lt;-5,"🟢 Under Budget","🟡 On Track"))</f>
        <v>🟡 On Track</v>
      </c>
    </row>
    <row r="105" spans="1:8" ht="18" customHeight="1" x14ac:dyDescent="0.3">
      <c r="A105" s="16">
        <v>98</v>
      </c>
      <c r="B105" s="16" t="str">
        <f>DATA_COST!B99</f>
        <v>Oct-2024</v>
      </c>
      <c r="C105" s="16" t="str">
        <f>DATA_COST!C99</f>
        <v>Communication &amp; IT</v>
      </c>
      <c r="D105" s="17">
        <f>DATA_COST!D99</f>
        <v>47200</v>
      </c>
      <c r="E105" s="17">
        <f>DATA_COST!E99</f>
        <v>46641</v>
      </c>
      <c r="F105" s="17">
        <f t="shared" si="9"/>
        <v>-559</v>
      </c>
      <c r="G105" s="18">
        <f t="shared" si="10"/>
        <v>-1.1843220338983051</v>
      </c>
      <c r="H105" s="16" t="str">
        <f t="shared" si="11"/>
        <v>🟡 On Track</v>
      </c>
    </row>
    <row r="106" spans="1:8" ht="18" customHeight="1" x14ac:dyDescent="0.3">
      <c r="A106" s="13">
        <v>99</v>
      </c>
      <c r="B106" s="13" t="str">
        <f>DATA_COST!B100</f>
        <v>Oct-2024</v>
      </c>
      <c r="C106" s="13" t="str">
        <f>DATA_COST!C100</f>
        <v>Insurance &amp; Compliance</v>
      </c>
      <c r="D106" s="14">
        <f>DATA_COST!D100</f>
        <v>88500</v>
      </c>
      <c r="E106" s="14">
        <f>DATA_COST!E100</f>
        <v>90631</v>
      </c>
      <c r="F106" s="14">
        <f t="shared" si="9"/>
        <v>2131</v>
      </c>
      <c r="G106" s="15">
        <f t="shared" si="10"/>
        <v>2.4079096045197739</v>
      </c>
      <c r="H106" s="13" t="str">
        <f t="shared" si="11"/>
        <v>🟡 On Track</v>
      </c>
    </row>
    <row r="107" spans="1:8" ht="18" customHeight="1" x14ac:dyDescent="0.3">
      <c r="A107" s="16">
        <v>100</v>
      </c>
      <c r="B107" s="16" t="str">
        <f>DATA_COST!B101</f>
        <v>Oct-2024</v>
      </c>
      <c r="C107" s="16" t="str">
        <f>DATA_COST!C101</f>
        <v>Miscellaneous</v>
      </c>
      <c r="D107" s="17">
        <f>DATA_COST!D101</f>
        <v>35400</v>
      </c>
      <c r="E107" s="17">
        <f>DATA_COST!E101</f>
        <v>31106</v>
      </c>
      <c r="F107" s="17">
        <f t="shared" si="9"/>
        <v>-4294</v>
      </c>
      <c r="G107" s="18">
        <f t="shared" si="10"/>
        <v>-12.129943502824858</v>
      </c>
      <c r="H107" s="16" t="str">
        <f t="shared" si="11"/>
        <v>🟢 Under Budget</v>
      </c>
    </row>
    <row r="108" spans="1:8" ht="18" customHeight="1" x14ac:dyDescent="0.3">
      <c r="A108" s="13">
        <v>101</v>
      </c>
      <c r="B108" s="13" t="str">
        <f>DATA_COST!B102</f>
        <v>Nov-2024</v>
      </c>
      <c r="C108" s="13" t="str">
        <f>DATA_COST!C102</f>
        <v>Salaries &amp; Wages</v>
      </c>
      <c r="D108" s="14">
        <f>DATA_COST!D102</f>
        <v>793000</v>
      </c>
      <c r="E108" s="14">
        <f>DATA_COST!E102</f>
        <v>804428</v>
      </c>
      <c r="F108" s="14">
        <f t="shared" si="9"/>
        <v>11428</v>
      </c>
      <c r="G108" s="15">
        <f t="shared" si="10"/>
        <v>1.441109709962169</v>
      </c>
      <c r="H108" s="13" t="str">
        <f t="shared" si="11"/>
        <v>🟡 On Track</v>
      </c>
    </row>
    <row r="109" spans="1:8" ht="18" customHeight="1" x14ac:dyDescent="0.3">
      <c r="A109" s="16">
        <v>102</v>
      </c>
      <c r="B109" s="16" t="str">
        <f>DATA_COST!B103</f>
        <v>Nov-2024</v>
      </c>
      <c r="C109" s="16" t="str">
        <f>DATA_COST!C103</f>
        <v>Vehicle Fuel &amp; Maintenance</v>
      </c>
      <c r="D109" s="17">
        <f>DATA_COST!D103</f>
        <v>341600</v>
      </c>
      <c r="E109" s="17">
        <f>DATA_COST!E103</f>
        <v>392271</v>
      </c>
      <c r="F109" s="17">
        <f t="shared" si="9"/>
        <v>50671</v>
      </c>
      <c r="G109" s="18">
        <f t="shared" si="10"/>
        <v>14.833430913348947</v>
      </c>
      <c r="H109" s="16" t="str">
        <f t="shared" si="11"/>
        <v>🔴 Over Budget</v>
      </c>
    </row>
    <row r="110" spans="1:8" ht="18" customHeight="1" x14ac:dyDescent="0.3">
      <c r="A110" s="13">
        <v>103</v>
      </c>
      <c r="B110" s="13" t="str">
        <f>DATA_COST!B104</f>
        <v>Nov-2024</v>
      </c>
      <c r="C110" s="13" t="str">
        <f>DATA_COST!C104</f>
        <v>Depot Rent &amp; Utilities</v>
      </c>
      <c r="D110" s="14">
        <f>DATA_COST!D104</f>
        <v>219600</v>
      </c>
      <c r="E110" s="14">
        <f>DATA_COST!E104</f>
        <v>225090</v>
      </c>
      <c r="F110" s="14">
        <f t="shared" si="9"/>
        <v>5490</v>
      </c>
      <c r="G110" s="15">
        <f t="shared" si="10"/>
        <v>2.5</v>
      </c>
      <c r="H110" s="13" t="str">
        <f t="shared" si="11"/>
        <v>🟡 On Track</v>
      </c>
    </row>
    <row r="111" spans="1:8" ht="18" customHeight="1" x14ac:dyDescent="0.3">
      <c r="A111" s="16">
        <v>104</v>
      </c>
      <c r="B111" s="16" t="str">
        <f>DATA_COST!B105</f>
        <v>Nov-2024</v>
      </c>
      <c r="C111" s="16" t="str">
        <f>DATA_COST!C105</f>
        <v>Sales Incentives</v>
      </c>
      <c r="D111" s="17">
        <f>DATA_COST!D105</f>
        <v>146400</v>
      </c>
      <c r="E111" s="17">
        <f>DATA_COST!E105</f>
        <v>148854</v>
      </c>
      <c r="F111" s="17">
        <f t="shared" si="9"/>
        <v>2454</v>
      </c>
      <c r="G111" s="18">
        <f t="shared" si="10"/>
        <v>1.6762295081967213</v>
      </c>
      <c r="H111" s="16" t="str">
        <f t="shared" si="11"/>
        <v>🟡 On Track</v>
      </c>
    </row>
    <row r="112" spans="1:8" ht="18" customHeight="1" x14ac:dyDescent="0.3">
      <c r="A112" s="13">
        <v>105</v>
      </c>
      <c r="B112" s="13" t="str">
        <f>DATA_COST!B106</f>
        <v>Nov-2024</v>
      </c>
      <c r="C112" s="13" t="str">
        <f>DATA_COST!C106</f>
        <v>Packaging &amp; Labelling</v>
      </c>
      <c r="D112" s="14">
        <f>DATA_COST!D106</f>
        <v>115900</v>
      </c>
      <c r="E112" s="14">
        <f>DATA_COST!E106</f>
        <v>110099</v>
      </c>
      <c r="F112" s="14">
        <f t="shared" si="9"/>
        <v>-5801</v>
      </c>
      <c r="G112" s="15">
        <f t="shared" si="10"/>
        <v>-5.0051768766177744</v>
      </c>
      <c r="H112" s="13" t="str">
        <f t="shared" si="11"/>
        <v>🟢 Under Budget</v>
      </c>
    </row>
    <row r="113" spans="1:8" ht="18" customHeight="1" x14ac:dyDescent="0.3">
      <c r="A113" s="16">
        <v>106</v>
      </c>
      <c r="B113" s="16" t="str">
        <f>DATA_COST!B107</f>
        <v>Nov-2024</v>
      </c>
      <c r="C113" s="16" t="str">
        <f>DATA_COST!C107</f>
        <v>Warehouse Operations</v>
      </c>
      <c r="D113" s="17">
        <f>DATA_COST!D107</f>
        <v>134200</v>
      </c>
      <c r="E113" s="17">
        <f>DATA_COST!E107</f>
        <v>129172</v>
      </c>
      <c r="F113" s="17">
        <f t="shared" si="9"/>
        <v>-5028</v>
      </c>
      <c r="G113" s="18">
        <f t="shared" si="10"/>
        <v>-3.7466467958271235</v>
      </c>
      <c r="H113" s="16" t="str">
        <f t="shared" si="11"/>
        <v>🟡 On Track</v>
      </c>
    </row>
    <row r="114" spans="1:8" ht="18" customHeight="1" x14ac:dyDescent="0.3">
      <c r="A114" s="13">
        <v>107</v>
      </c>
      <c r="B114" s="13" t="str">
        <f>DATA_COST!B108</f>
        <v>Nov-2024</v>
      </c>
      <c r="C114" s="13" t="str">
        <f>DATA_COST!C108</f>
        <v>Office &amp; Admin</v>
      </c>
      <c r="D114" s="14">
        <f>DATA_COST!D108</f>
        <v>67100</v>
      </c>
      <c r="E114" s="14">
        <f>DATA_COST!E108</f>
        <v>69908</v>
      </c>
      <c r="F114" s="14">
        <f t="shared" si="9"/>
        <v>2808</v>
      </c>
      <c r="G114" s="15">
        <f t="shared" si="10"/>
        <v>4.1847988077496279</v>
      </c>
      <c r="H114" s="13" t="str">
        <f t="shared" si="11"/>
        <v>🟡 On Track</v>
      </c>
    </row>
    <row r="115" spans="1:8" ht="18" customHeight="1" x14ac:dyDescent="0.3">
      <c r="A115" s="16">
        <v>108</v>
      </c>
      <c r="B115" s="16" t="str">
        <f>DATA_COST!B109</f>
        <v>Nov-2024</v>
      </c>
      <c r="C115" s="16" t="str">
        <f>DATA_COST!C109</f>
        <v>Communication &amp; IT</v>
      </c>
      <c r="D115" s="17">
        <f>DATA_COST!D109</f>
        <v>48800</v>
      </c>
      <c r="E115" s="17">
        <f>DATA_COST!E109</f>
        <v>52012</v>
      </c>
      <c r="F115" s="17">
        <f t="shared" si="9"/>
        <v>3212</v>
      </c>
      <c r="G115" s="18">
        <f t="shared" si="10"/>
        <v>6.5819672131147549</v>
      </c>
      <c r="H115" s="16" t="str">
        <f t="shared" si="11"/>
        <v>🔴 Over Budget</v>
      </c>
    </row>
    <row r="116" spans="1:8" ht="18" customHeight="1" x14ac:dyDescent="0.3">
      <c r="A116" s="13">
        <v>109</v>
      </c>
      <c r="B116" s="13" t="str">
        <f>DATA_COST!B110</f>
        <v>Nov-2024</v>
      </c>
      <c r="C116" s="13" t="str">
        <f>DATA_COST!C110</f>
        <v>Insurance &amp; Compliance</v>
      </c>
      <c r="D116" s="14">
        <f>DATA_COST!D110</f>
        <v>91500</v>
      </c>
      <c r="E116" s="14">
        <f>DATA_COST!E110</f>
        <v>92229</v>
      </c>
      <c r="F116" s="14">
        <f t="shared" si="9"/>
        <v>729</v>
      </c>
      <c r="G116" s="15">
        <f t="shared" si="10"/>
        <v>0.79672131147540981</v>
      </c>
      <c r="H116" s="13" t="str">
        <f t="shared" si="11"/>
        <v>🟡 On Track</v>
      </c>
    </row>
    <row r="117" spans="1:8" ht="18" customHeight="1" x14ac:dyDescent="0.3">
      <c r="A117" s="16">
        <v>110</v>
      </c>
      <c r="B117" s="16" t="str">
        <f>DATA_COST!B111</f>
        <v>Nov-2024</v>
      </c>
      <c r="C117" s="16" t="str">
        <f>DATA_COST!C111</f>
        <v>Miscellaneous</v>
      </c>
      <c r="D117" s="17">
        <f>DATA_COST!D111</f>
        <v>36600</v>
      </c>
      <c r="E117" s="17">
        <f>DATA_COST!E111</f>
        <v>40785</v>
      </c>
      <c r="F117" s="17">
        <f t="shared" si="9"/>
        <v>4185</v>
      </c>
      <c r="G117" s="18">
        <f t="shared" si="10"/>
        <v>11.434426229508196</v>
      </c>
      <c r="H117" s="16" t="str">
        <f t="shared" si="11"/>
        <v>🔴 Over Budget</v>
      </c>
    </row>
    <row r="118" spans="1:8" ht="18" customHeight="1" x14ac:dyDescent="0.3">
      <c r="A118" s="13">
        <v>111</v>
      </c>
      <c r="B118" s="13" t="str">
        <f>DATA_COST!B112</f>
        <v>Dec-2024</v>
      </c>
      <c r="C118" s="13" t="str">
        <f>DATA_COST!C112</f>
        <v>Salaries &amp; Wages</v>
      </c>
      <c r="D118" s="14">
        <f>DATA_COST!D112</f>
        <v>682500</v>
      </c>
      <c r="E118" s="14">
        <f>DATA_COST!E112</f>
        <v>696870</v>
      </c>
      <c r="F118" s="14">
        <f t="shared" si="9"/>
        <v>14370</v>
      </c>
      <c r="G118" s="15">
        <f t="shared" si="10"/>
        <v>2.1054945054945056</v>
      </c>
      <c r="H118" s="13" t="str">
        <f t="shared" si="11"/>
        <v>🟡 On Track</v>
      </c>
    </row>
    <row r="119" spans="1:8" ht="18" customHeight="1" x14ac:dyDescent="0.3">
      <c r="A119" s="16">
        <v>112</v>
      </c>
      <c r="B119" s="16" t="str">
        <f>DATA_COST!B113</f>
        <v>Dec-2024</v>
      </c>
      <c r="C119" s="16" t="str">
        <f>DATA_COST!C113</f>
        <v>Vehicle Fuel &amp; Maintenance</v>
      </c>
      <c r="D119" s="17">
        <f>DATA_COST!D113</f>
        <v>294000</v>
      </c>
      <c r="E119" s="17">
        <f>DATA_COST!E113</f>
        <v>312423</v>
      </c>
      <c r="F119" s="17">
        <f t="shared" si="9"/>
        <v>18423</v>
      </c>
      <c r="G119" s="18">
        <f t="shared" si="10"/>
        <v>6.2663265306122442</v>
      </c>
      <c r="H119" s="16" t="str">
        <f t="shared" si="11"/>
        <v>🔴 Over Budget</v>
      </c>
    </row>
    <row r="120" spans="1:8" ht="18" customHeight="1" x14ac:dyDescent="0.3">
      <c r="A120" s="13">
        <v>113</v>
      </c>
      <c r="B120" s="13" t="str">
        <f>DATA_COST!B114</f>
        <v>Dec-2024</v>
      </c>
      <c r="C120" s="13" t="str">
        <f>DATA_COST!C114</f>
        <v>Depot Rent &amp; Utilities</v>
      </c>
      <c r="D120" s="14">
        <f>DATA_COST!D114</f>
        <v>189000</v>
      </c>
      <c r="E120" s="14">
        <f>DATA_COST!E114</f>
        <v>192412</v>
      </c>
      <c r="F120" s="14">
        <f t="shared" si="9"/>
        <v>3412</v>
      </c>
      <c r="G120" s="15">
        <f t="shared" si="10"/>
        <v>1.8052910052910054</v>
      </c>
      <c r="H120" s="13" t="str">
        <f t="shared" si="11"/>
        <v>🟡 On Track</v>
      </c>
    </row>
    <row r="121" spans="1:8" ht="18" customHeight="1" x14ac:dyDescent="0.3">
      <c r="A121" s="16">
        <v>114</v>
      </c>
      <c r="B121" s="16" t="str">
        <f>DATA_COST!B115</f>
        <v>Dec-2024</v>
      </c>
      <c r="C121" s="16" t="str">
        <f>DATA_COST!C115</f>
        <v>Sales Incentives</v>
      </c>
      <c r="D121" s="17">
        <f>DATA_COST!D115</f>
        <v>126000</v>
      </c>
      <c r="E121" s="17">
        <f>DATA_COST!E115</f>
        <v>140526</v>
      </c>
      <c r="F121" s="17">
        <f t="shared" si="9"/>
        <v>14526</v>
      </c>
      <c r="G121" s="18">
        <f t="shared" si="10"/>
        <v>11.528571428571428</v>
      </c>
      <c r="H121" s="16" t="str">
        <f t="shared" si="11"/>
        <v>🔴 Over Budget</v>
      </c>
    </row>
    <row r="122" spans="1:8" ht="18" customHeight="1" x14ac:dyDescent="0.3">
      <c r="A122" s="13">
        <v>115</v>
      </c>
      <c r="B122" s="13" t="str">
        <f>DATA_COST!B116</f>
        <v>Dec-2024</v>
      </c>
      <c r="C122" s="13" t="str">
        <f>DATA_COST!C116</f>
        <v>Packaging &amp; Labelling</v>
      </c>
      <c r="D122" s="14">
        <f>DATA_COST!D116</f>
        <v>99750</v>
      </c>
      <c r="E122" s="14">
        <f>DATA_COST!E116</f>
        <v>101571</v>
      </c>
      <c r="F122" s="14">
        <f t="shared" si="9"/>
        <v>1821</v>
      </c>
      <c r="G122" s="15">
        <f t="shared" si="10"/>
        <v>1.8255639097744363</v>
      </c>
      <c r="H122" s="13" t="str">
        <f t="shared" si="11"/>
        <v>🟡 On Track</v>
      </c>
    </row>
    <row r="123" spans="1:8" ht="18" customHeight="1" x14ac:dyDescent="0.3">
      <c r="A123" s="16">
        <v>116</v>
      </c>
      <c r="B123" s="16" t="str">
        <f>DATA_COST!B117</f>
        <v>Dec-2024</v>
      </c>
      <c r="C123" s="16" t="str">
        <f>DATA_COST!C117</f>
        <v>Warehouse Operations</v>
      </c>
      <c r="D123" s="17">
        <f>DATA_COST!D117</f>
        <v>115500</v>
      </c>
      <c r="E123" s="17">
        <f>DATA_COST!E117</f>
        <v>111821</v>
      </c>
      <c r="F123" s="17">
        <f t="shared" si="9"/>
        <v>-3679</v>
      </c>
      <c r="G123" s="18">
        <f t="shared" si="10"/>
        <v>-3.1852813852813853</v>
      </c>
      <c r="H123" s="16" t="str">
        <f t="shared" si="11"/>
        <v>🟡 On Track</v>
      </c>
    </row>
    <row r="124" spans="1:8" ht="18" customHeight="1" x14ac:dyDescent="0.3">
      <c r="A124" s="13">
        <v>117</v>
      </c>
      <c r="B124" s="13" t="str">
        <f>DATA_COST!B118</f>
        <v>Dec-2024</v>
      </c>
      <c r="C124" s="13" t="str">
        <f>DATA_COST!C118</f>
        <v>Office &amp; Admin</v>
      </c>
      <c r="D124" s="14">
        <f>DATA_COST!D118</f>
        <v>57750</v>
      </c>
      <c r="E124" s="14">
        <f>DATA_COST!E118</f>
        <v>59392</v>
      </c>
      <c r="F124" s="14">
        <f t="shared" si="9"/>
        <v>1642</v>
      </c>
      <c r="G124" s="15">
        <f t="shared" si="10"/>
        <v>2.8432900432900432</v>
      </c>
      <c r="H124" s="13" t="str">
        <f t="shared" si="11"/>
        <v>🟡 On Track</v>
      </c>
    </row>
    <row r="125" spans="1:8" ht="18" customHeight="1" x14ac:dyDescent="0.3">
      <c r="A125" s="16">
        <v>118</v>
      </c>
      <c r="B125" s="16" t="str">
        <f>DATA_COST!B119</f>
        <v>Dec-2024</v>
      </c>
      <c r="C125" s="16" t="str">
        <f>DATA_COST!C119</f>
        <v>Communication &amp; IT</v>
      </c>
      <c r="D125" s="17">
        <f>DATA_COST!D119</f>
        <v>42000</v>
      </c>
      <c r="E125" s="17">
        <f>DATA_COST!E119</f>
        <v>42224</v>
      </c>
      <c r="F125" s="17">
        <f t="shared" si="9"/>
        <v>224</v>
      </c>
      <c r="G125" s="18">
        <f t="shared" si="10"/>
        <v>0.53333333333333333</v>
      </c>
      <c r="H125" s="16" t="str">
        <f t="shared" si="11"/>
        <v>🟡 On Track</v>
      </c>
    </row>
    <row r="126" spans="1:8" ht="18" customHeight="1" x14ac:dyDescent="0.3">
      <c r="A126" s="13">
        <v>119</v>
      </c>
      <c r="B126" s="13" t="str">
        <f>DATA_COST!B120</f>
        <v>Dec-2024</v>
      </c>
      <c r="C126" s="13" t="str">
        <f>DATA_COST!C120</f>
        <v>Insurance &amp; Compliance</v>
      </c>
      <c r="D126" s="14">
        <f>DATA_COST!D120</f>
        <v>78750</v>
      </c>
      <c r="E126" s="14">
        <f>DATA_COST!E120</f>
        <v>78243</v>
      </c>
      <c r="F126" s="14">
        <f t="shared" si="9"/>
        <v>-507</v>
      </c>
      <c r="G126" s="15">
        <f t="shared" si="10"/>
        <v>-0.64380952380952383</v>
      </c>
      <c r="H126" s="13" t="str">
        <f t="shared" si="11"/>
        <v>🟡 On Track</v>
      </c>
    </row>
    <row r="127" spans="1:8" ht="18" customHeight="1" x14ac:dyDescent="0.3">
      <c r="A127" s="16">
        <v>120</v>
      </c>
      <c r="B127" s="16" t="str">
        <f>DATA_COST!B121</f>
        <v>Dec-2024</v>
      </c>
      <c r="C127" s="16" t="str">
        <f>DATA_COST!C121</f>
        <v>Miscellaneous</v>
      </c>
      <c r="D127" s="17">
        <f>DATA_COST!D121</f>
        <v>31500</v>
      </c>
      <c r="E127" s="17">
        <f>DATA_COST!E121</f>
        <v>35490</v>
      </c>
      <c r="F127" s="17">
        <f t="shared" si="9"/>
        <v>3990</v>
      </c>
      <c r="G127" s="18">
        <f t="shared" si="10"/>
        <v>12.666666666666668</v>
      </c>
      <c r="H127" s="16" t="str">
        <f t="shared" si="11"/>
        <v>🔴 Over Budget</v>
      </c>
    </row>
    <row r="128" spans="1:8" ht="21.75" customHeight="1" x14ac:dyDescent="0.3">
      <c r="A128" s="19"/>
      <c r="B128" s="19" t="s">
        <v>48</v>
      </c>
      <c r="C128" s="19"/>
      <c r="D128" s="20">
        <f>SUM(D8:D127)</f>
        <v>20012400</v>
      </c>
      <c r="E128" s="20">
        <f>SUM(E8:E127)</f>
        <v>20324312</v>
      </c>
      <c r="F128" s="20">
        <f>SUM(F8:F127)</f>
        <v>311912</v>
      </c>
      <c r="G128" s="21">
        <f t="shared" si="10"/>
        <v>1.5585936719234075</v>
      </c>
      <c r="H128" s="19"/>
    </row>
  </sheetData>
  <mergeCells count="2">
    <mergeCell ref="A1:H1"/>
    <mergeCell ref="A2:H2"/>
  </mergeCells>
  <conditionalFormatting sqref="F8:F127">
    <cfRule type="cellIs" dxfId="6" priority="2" operator="greaterThan">
      <formula>0</formula>
    </cfRule>
    <cfRule type="cellIs" dxfId="5" priority="3" operator="lessThan">
      <formula>0</formula>
    </cfRule>
  </conditionalFormatting>
  <conditionalFormatting sqref="H8:H127">
    <cfRule type="expression" dxfId="4" priority="4">
      <formula>ISNUMBER(SEARCH("🔴",H8))</formula>
    </cfRule>
    <cfRule type="expression" dxfId="3" priority="5">
      <formula>ISNUMBER(SEARCH("🟢",H8))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1"/>
  <sheetViews>
    <sheetView zoomScaleNormal="100" workbookViewId="0"/>
  </sheetViews>
  <sheetFormatPr defaultColWidth="8.6640625" defaultRowHeight="14.4" x14ac:dyDescent="0.3"/>
  <sheetData>
    <row r="1" spans="1:8" ht="15" customHeight="1" x14ac:dyDescent="0.3">
      <c r="A1" t="s">
        <v>0</v>
      </c>
      <c r="B1" t="s">
        <v>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</row>
    <row r="2" spans="1:8" ht="15" customHeight="1" x14ac:dyDescent="0.3">
      <c r="A2">
        <v>1</v>
      </c>
      <c r="B2" t="s">
        <v>19</v>
      </c>
      <c r="C2" t="s">
        <v>148</v>
      </c>
      <c r="D2">
        <v>572000</v>
      </c>
      <c r="E2">
        <v>582421</v>
      </c>
      <c r="F2">
        <v>10421</v>
      </c>
      <c r="G2">
        <v>1.8</v>
      </c>
      <c r="H2" t="s">
        <v>149</v>
      </c>
    </row>
    <row r="3" spans="1:8" ht="15" customHeight="1" x14ac:dyDescent="0.3">
      <c r="A3">
        <v>1</v>
      </c>
      <c r="B3" t="s">
        <v>19</v>
      </c>
      <c r="C3" t="s">
        <v>150</v>
      </c>
      <c r="D3">
        <v>246400</v>
      </c>
      <c r="E3">
        <v>281763</v>
      </c>
      <c r="F3">
        <v>35363</v>
      </c>
      <c r="G3">
        <v>14.4</v>
      </c>
      <c r="H3" t="s">
        <v>151</v>
      </c>
    </row>
    <row r="4" spans="1:8" ht="15" customHeight="1" x14ac:dyDescent="0.3">
      <c r="A4">
        <v>1</v>
      </c>
      <c r="B4" t="s">
        <v>19</v>
      </c>
      <c r="C4" t="s">
        <v>152</v>
      </c>
      <c r="D4">
        <v>158400</v>
      </c>
      <c r="E4">
        <v>160378</v>
      </c>
      <c r="F4">
        <v>1978</v>
      </c>
      <c r="G4">
        <v>1.2</v>
      </c>
      <c r="H4" t="s">
        <v>149</v>
      </c>
    </row>
    <row r="5" spans="1:8" ht="15" customHeight="1" x14ac:dyDescent="0.3">
      <c r="A5">
        <v>1</v>
      </c>
      <c r="B5" t="s">
        <v>19</v>
      </c>
      <c r="C5" t="s">
        <v>153</v>
      </c>
      <c r="D5">
        <v>105600</v>
      </c>
      <c r="E5">
        <v>132760</v>
      </c>
      <c r="F5">
        <v>27160</v>
      </c>
      <c r="G5">
        <v>25.7</v>
      </c>
      <c r="H5" t="s">
        <v>151</v>
      </c>
    </row>
    <row r="6" spans="1:8" ht="15" customHeight="1" x14ac:dyDescent="0.3">
      <c r="A6">
        <v>1</v>
      </c>
      <c r="B6" t="s">
        <v>19</v>
      </c>
      <c r="C6" t="s">
        <v>154</v>
      </c>
      <c r="D6">
        <v>83600</v>
      </c>
      <c r="E6">
        <v>87488</v>
      </c>
      <c r="F6">
        <v>3888</v>
      </c>
      <c r="G6">
        <v>4.7</v>
      </c>
      <c r="H6" t="s">
        <v>149</v>
      </c>
    </row>
    <row r="7" spans="1:8" ht="15" customHeight="1" x14ac:dyDescent="0.3">
      <c r="A7">
        <v>1</v>
      </c>
      <c r="B7" t="s">
        <v>19</v>
      </c>
      <c r="C7" t="s">
        <v>155</v>
      </c>
      <c r="D7">
        <v>96800</v>
      </c>
      <c r="E7">
        <v>90560</v>
      </c>
      <c r="F7">
        <v>-6240</v>
      </c>
      <c r="G7">
        <v>-6.4</v>
      </c>
      <c r="H7" t="s">
        <v>156</v>
      </c>
    </row>
    <row r="8" spans="1:8" ht="15" customHeight="1" x14ac:dyDescent="0.3">
      <c r="A8">
        <v>1</v>
      </c>
      <c r="B8" t="s">
        <v>19</v>
      </c>
      <c r="C8" t="s">
        <v>157</v>
      </c>
      <c r="D8">
        <v>48400</v>
      </c>
      <c r="E8">
        <v>50147</v>
      </c>
      <c r="F8">
        <v>1747</v>
      </c>
      <c r="G8">
        <v>3.6</v>
      </c>
      <c r="H8" t="s">
        <v>149</v>
      </c>
    </row>
    <row r="9" spans="1:8" ht="15" customHeight="1" x14ac:dyDescent="0.3">
      <c r="A9">
        <v>1</v>
      </c>
      <c r="B9" t="s">
        <v>19</v>
      </c>
      <c r="C9" t="s">
        <v>158</v>
      </c>
      <c r="D9">
        <v>35200</v>
      </c>
      <c r="E9">
        <v>34471</v>
      </c>
      <c r="F9">
        <v>-729</v>
      </c>
      <c r="G9">
        <v>-2.1</v>
      </c>
      <c r="H9" t="s">
        <v>149</v>
      </c>
    </row>
    <row r="10" spans="1:8" ht="15" customHeight="1" x14ac:dyDescent="0.3">
      <c r="A10">
        <v>1</v>
      </c>
      <c r="B10" t="s">
        <v>19</v>
      </c>
      <c r="C10" t="s">
        <v>159</v>
      </c>
      <c r="D10">
        <v>66000</v>
      </c>
      <c r="E10">
        <v>66034</v>
      </c>
      <c r="F10">
        <v>34</v>
      </c>
      <c r="G10">
        <v>0.1</v>
      </c>
      <c r="H10" t="s">
        <v>149</v>
      </c>
    </row>
    <row r="11" spans="1:8" ht="15" customHeight="1" x14ac:dyDescent="0.3">
      <c r="A11">
        <v>1</v>
      </c>
      <c r="B11" t="s">
        <v>19</v>
      </c>
      <c r="C11" t="s">
        <v>160</v>
      </c>
      <c r="D11">
        <v>26400</v>
      </c>
      <c r="E11">
        <v>25283</v>
      </c>
      <c r="F11">
        <v>-1117</v>
      </c>
      <c r="G11">
        <v>-4.2</v>
      </c>
      <c r="H11" t="s">
        <v>149</v>
      </c>
    </row>
    <row r="12" spans="1:8" ht="15" customHeight="1" x14ac:dyDescent="0.3">
      <c r="A12">
        <v>2</v>
      </c>
      <c r="B12" t="s">
        <v>20</v>
      </c>
      <c r="C12" t="s">
        <v>148</v>
      </c>
      <c r="D12">
        <v>546000</v>
      </c>
      <c r="E12">
        <v>539738</v>
      </c>
      <c r="F12">
        <v>-6262</v>
      </c>
      <c r="G12">
        <v>-1.1000000000000001</v>
      </c>
      <c r="H12" t="s">
        <v>149</v>
      </c>
    </row>
    <row r="13" spans="1:8" ht="15" customHeight="1" x14ac:dyDescent="0.3">
      <c r="A13">
        <v>2</v>
      </c>
      <c r="B13" t="s">
        <v>20</v>
      </c>
      <c r="C13" t="s">
        <v>150</v>
      </c>
      <c r="D13">
        <v>235200</v>
      </c>
      <c r="E13">
        <v>234981</v>
      </c>
      <c r="F13">
        <v>-219</v>
      </c>
      <c r="G13">
        <v>-0.1</v>
      </c>
      <c r="H13" t="s">
        <v>149</v>
      </c>
    </row>
    <row r="14" spans="1:8" ht="15" customHeight="1" x14ac:dyDescent="0.3">
      <c r="A14">
        <v>2</v>
      </c>
      <c r="B14" t="s">
        <v>20</v>
      </c>
      <c r="C14" t="s">
        <v>152</v>
      </c>
      <c r="D14">
        <v>151200</v>
      </c>
      <c r="E14">
        <v>150810</v>
      </c>
      <c r="F14">
        <v>-390</v>
      </c>
      <c r="G14">
        <v>-0.3</v>
      </c>
      <c r="H14" t="s">
        <v>149</v>
      </c>
    </row>
    <row r="15" spans="1:8" ht="15" customHeight="1" x14ac:dyDescent="0.3">
      <c r="A15">
        <v>2</v>
      </c>
      <c r="B15" t="s">
        <v>20</v>
      </c>
      <c r="C15" t="s">
        <v>153</v>
      </c>
      <c r="D15">
        <v>100800</v>
      </c>
      <c r="E15">
        <v>110007</v>
      </c>
      <c r="F15">
        <v>9207</v>
      </c>
      <c r="G15">
        <v>9.1</v>
      </c>
      <c r="H15" t="s">
        <v>151</v>
      </c>
    </row>
    <row r="16" spans="1:8" ht="15" customHeight="1" x14ac:dyDescent="0.3">
      <c r="A16">
        <v>2</v>
      </c>
      <c r="B16" t="s">
        <v>20</v>
      </c>
      <c r="C16" t="s">
        <v>154</v>
      </c>
      <c r="D16">
        <v>79800</v>
      </c>
      <c r="E16">
        <v>85356</v>
      </c>
      <c r="F16">
        <v>5556</v>
      </c>
      <c r="G16">
        <v>7</v>
      </c>
      <c r="H16" t="s">
        <v>151</v>
      </c>
    </row>
    <row r="17" spans="1:8" ht="15" customHeight="1" x14ac:dyDescent="0.3">
      <c r="A17">
        <v>2</v>
      </c>
      <c r="B17" t="s">
        <v>20</v>
      </c>
      <c r="C17" t="s">
        <v>155</v>
      </c>
      <c r="D17">
        <v>92400</v>
      </c>
      <c r="E17">
        <v>90352</v>
      </c>
      <c r="F17">
        <v>-2048</v>
      </c>
      <c r="G17">
        <v>-2.2000000000000002</v>
      </c>
      <c r="H17" t="s">
        <v>149</v>
      </c>
    </row>
    <row r="18" spans="1:8" ht="15" customHeight="1" x14ac:dyDescent="0.3">
      <c r="A18">
        <v>2</v>
      </c>
      <c r="B18" t="s">
        <v>20</v>
      </c>
      <c r="C18" t="s">
        <v>157</v>
      </c>
      <c r="D18">
        <v>46200</v>
      </c>
      <c r="E18">
        <v>45260</v>
      </c>
      <c r="F18">
        <v>-940</v>
      </c>
      <c r="G18">
        <v>-2</v>
      </c>
      <c r="H18" t="s">
        <v>149</v>
      </c>
    </row>
    <row r="19" spans="1:8" ht="15" customHeight="1" x14ac:dyDescent="0.3">
      <c r="A19">
        <v>2</v>
      </c>
      <c r="B19" t="s">
        <v>20</v>
      </c>
      <c r="C19" t="s">
        <v>158</v>
      </c>
      <c r="D19">
        <v>33600</v>
      </c>
      <c r="E19">
        <v>34676</v>
      </c>
      <c r="F19">
        <v>1076</v>
      </c>
      <c r="G19">
        <v>3.2</v>
      </c>
      <c r="H19" t="s">
        <v>149</v>
      </c>
    </row>
    <row r="20" spans="1:8" ht="15" customHeight="1" x14ac:dyDescent="0.3">
      <c r="A20">
        <v>2</v>
      </c>
      <c r="B20" t="s">
        <v>20</v>
      </c>
      <c r="C20" t="s">
        <v>159</v>
      </c>
      <c r="D20">
        <v>63000</v>
      </c>
      <c r="E20">
        <v>63683</v>
      </c>
      <c r="F20">
        <v>683</v>
      </c>
      <c r="G20">
        <v>1.1000000000000001</v>
      </c>
      <c r="H20" t="s">
        <v>149</v>
      </c>
    </row>
    <row r="21" spans="1:8" ht="15" customHeight="1" x14ac:dyDescent="0.3">
      <c r="A21">
        <v>2</v>
      </c>
      <c r="B21" t="s">
        <v>20</v>
      </c>
      <c r="C21" t="s">
        <v>160</v>
      </c>
      <c r="D21">
        <v>25200</v>
      </c>
      <c r="E21">
        <v>29254</v>
      </c>
      <c r="F21">
        <v>4054</v>
      </c>
      <c r="G21">
        <v>16.100000000000001</v>
      </c>
      <c r="H21" t="s">
        <v>151</v>
      </c>
    </row>
    <row r="22" spans="1:8" ht="15" customHeight="1" x14ac:dyDescent="0.3">
      <c r="A22">
        <v>3</v>
      </c>
      <c r="B22" t="s">
        <v>21</v>
      </c>
      <c r="C22" t="s">
        <v>148</v>
      </c>
      <c r="D22">
        <v>598000</v>
      </c>
      <c r="E22">
        <v>580718</v>
      </c>
      <c r="F22">
        <v>-17282</v>
      </c>
      <c r="G22">
        <v>-2.9</v>
      </c>
      <c r="H22" t="s">
        <v>149</v>
      </c>
    </row>
    <row r="23" spans="1:8" ht="15" customHeight="1" x14ac:dyDescent="0.3">
      <c r="A23">
        <v>3</v>
      </c>
      <c r="B23" t="s">
        <v>21</v>
      </c>
      <c r="C23" t="s">
        <v>150</v>
      </c>
      <c r="D23">
        <v>257600</v>
      </c>
      <c r="E23">
        <v>287337</v>
      </c>
      <c r="F23">
        <v>29737</v>
      </c>
      <c r="G23">
        <v>11.5</v>
      </c>
      <c r="H23" t="s">
        <v>151</v>
      </c>
    </row>
    <row r="24" spans="1:8" ht="15" customHeight="1" x14ac:dyDescent="0.3">
      <c r="A24">
        <v>3</v>
      </c>
      <c r="B24" t="s">
        <v>21</v>
      </c>
      <c r="C24" t="s">
        <v>152</v>
      </c>
      <c r="D24">
        <v>165600</v>
      </c>
      <c r="E24">
        <v>166257</v>
      </c>
      <c r="F24">
        <v>657</v>
      </c>
      <c r="G24">
        <v>0.4</v>
      </c>
      <c r="H24" t="s">
        <v>149</v>
      </c>
    </row>
    <row r="25" spans="1:8" ht="15" customHeight="1" x14ac:dyDescent="0.3">
      <c r="A25">
        <v>3</v>
      </c>
      <c r="B25" t="s">
        <v>21</v>
      </c>
      <c r="C25" t="s">
        <v>153</v>
      </c>
      <c r="D25">
        <v>110400</v>
      </c>
      <c r="E25">
        <v>119872</v>
      </c>
      <c r="F25">
        <v>9472</v>
      </c>
      <c r="G25">
        <v>8.6</v>
      </c>
      <c r="H25" t="s">
        <v>151</v>
      </c>
    </row>
    <row r="26" spans="1:8" ht="15" customHeight="1" x14ac:dyDescent="0.3">
      <c r="A26">
        <v>3</v>
      </c>
      <c r="B26" t="s">
        <v>21</v>
      </c>
      <c r="C26" t="s">
        <v>154</v>
      </c>
      <c r="D26">
        <v>87400</v>
      </c>
      <c r="E26">
        <v>81877</v>
      </c>
      <c r="F26">
        <v>-5523</v>
      </c>
      <c r="G26">
        <v>-6.3</v>
      </c>
      <c r="H26" t="s">
        <v>156</v>
      </c>
    </row>
    <row r="27" spans="1:8" ht="15" customHeight="1" x14ac:dyDescent="0.3">
      <c r="A27">
        <v>3</v>
      </c>
      <c r="B27" t="s">
        <v>21</v>
      </c>
      <c r="C27" t="s">
        <v>155</v>
      </c>
      <c r="D27">
        <v>101200</v>
      </c>
      <c r="E27">
        <v>101165</v>
      </c>
      <c r="F27">
        <v>-35</v>
      </c>
      <c r="G27">
        <v>0</v>
      </c>
      <c r="H27" t="s">
        <v>149</v>
      </c>
    </row>
    <row r="28" spans="1:8" ht="15" customHeight="1" x14ac:dyDescent="0.3">
      <c r="A28">
        <v>3</v>
      </c>
      <c r="B28" t="s">
        <v>21</v>
      </c>
      <c r="C28" t="s">
        <v>157</v>
      </c>
      <c r="D28">
        <v>50600</v>
      </c>
      <c r="E28">
        <v>49634</v>
      </c>
      <c r="F28">
        <v>-966</v>
      </c>
      <c r="G28">
        <v>-1.9</v>
      </c>
      <c r="H28" t="s">
        <v>149</v>
      </c>
    </row>
    <row r="29" spans="1:8" ht="15" customHeight="1" x14ac:dyDescent="0.3">
      <c r="A29">
        <v>3</v>
      </c>
      <c r="B29" t="s">
        <v>21</v>
      </c>
      <c r="C29" t="s">
        <v>158</v>
      </c>
      <c r="D29">
        <v>36800</v>
      </c>
      <c r="E29">
        <v>35883</v>
      </c>
      <c r="F29">
        <v>-917</v>
      </c>
      <c r="G29">
        <v>-2.5</v>
      </c>
      <c r="H29" t="s">
        <v>149</v>
      </c>
    </row>
    <row r="30" spans="1:8" ht="15" customHeight="1" x14ac:dyDescent="0.3">
      <c r="A30">
        <v>3</v>
      </c>
      <c r="B30" t="s">
        <v>21</v>
      </c>
      <c r="C30" t="s">
        <v>159</v>
      </c>
      <c r="D30">
        <v>69000</v>
      </c>
      <c r="E30">
        <v>69220</v>
      </c>
      <c r="F30">
        <v>220</v>
      </c>
      <c r="G30">
        <v>0.3</v>
      </c>
      <c r="H30" t="s">
        <v>149</v>
      </c>
    </row>
    <row r="31" spans="1:8" ht="15" customHeight="1" x14ac:dyDescent="0.3">
      <c r="A31">
        <v>3</v>
      </c>
      <c r="B31" t="s">
        <v>21</v>
      </c>
      <c r="C31" t="s">
        <v>160</v>
      </c>
      <c r="D31">
        <v>27600</v>
      </c>
      <c r="E31">
        <v>31196</v>
      </c>
      <c r="F31">
        <v>3596</v>
      </c>
      <c r="G31">
        <v>13</v>
      </c>
      <c r="H31" t="s">
        <v>151</v>
      </c>
    </row>
    <row r="32" spans="1:8" ht="15" customHeight="1" x14ac:dyDescent="0.3">
      <c r="A32">
        <v>4</v>
      </c>
      <c r="B32" t="s">
        <v>22</v>
      </c>
      <c r="C32" t="s">
        <v>148</v>
      </c>
      <c r="D32">
        <v>682500</v>
      </c>
      <c r="E32">
        <v>697052</v>
      </c>
      <c r="F32">
        <v>14552</v>
      </c>
      <c r="G32">
        <v>2.1</v>
      </c>
      <c r="H32" t="s">
        <v>149</v>
      </c>
    </row>
    <row r="33" spans="1:8" ht="15" customHeight="1" x14ac:dyDescent="0.3">
      <c r="A33">
        <v>4</v>
      </c>
      <c r="B33" t="s">
        <v>22</v>
      </c>
      <c r="C33" t="s">
        <v>150</v>
      </c>
      <c r="D33">
        <v>294000</v>
      </c>
      <c r="E33">
        <v>306676</v>
      </c>
      <c r="F33">
        <v>12676</v>
      </c>
      <c r="G33">
        <v>4.3</v>
      </c>
      <c r="H33" t="s">
        <v>149</v>
      </c>
    </row>
    <row r="34" spans="1:8" ht="15" customHeight="1" x14ac:dyDescent="0.3">
      <c r="A34">
        <v>4</v>
      </c>
      <c r="B34" t="s">
        <v>22</v>
      </c>
      <c r="C34" t="s">
        <v>152</v>
      </c>
      <c r="D34">
        <v>189000</v>
      </c>
      <c r="E34">
        <v>189910</v>
      </c>
      <c r="F34">
        <v>910</v>
      </c>
      <c r="G34">
        <v>0.5</v>
      </c>
      <c r="H34" t="s">
        <v>149</v>
      </c>
    </row>
    <row r="35" spans="1:8" ht="15" customHeight="1" x14ac:dyDescent="0.3">
      <c r="A35">
        <v>4</v>
      </c>
      <c r="B35" t="s">
        <v>22</v>
      </c>
      <c r="C35" t="s">
        <v>153</v>
      </c>
      <c r="D35">
        <v>126000</v>
      </c>
      <c r="E35">
        <v>125567</v>
      </c>
      <c r="F35">
        <v>-433</v>
      </c>
      <c r="G35">
        <v>-0.3</v>
      </c>
      <c r="H35" t="s">
        <v>149</v>
      </c>
    </row>
    <row r="36" spans="1:8" ht="15" customHeight="1" x14ac:dyDescent="0.3">
      <c r="A36">
        <v>4</v>
      </c>
      <c r="B36" t="s">
        <v>22</v>
      </c>
      <c r="C36" t="s">
        <v>154</v>
      </c>
      <c r="D36">
        <v>99750</v>
      </c>
      <c r="E36">
        <v>109623</v>
      </c>
      <c r="F36">
        <v>9873</v>
      </c>
      <c r="G36">
        <v>9.9</v>
      </c>
      <c r="H36" t="s">
        <v>151</v>
      </c>
    </row>
    <row r="37" spans="1:8" ht="15" customHeight="1" x14ac:dyDescent="0.3">
      <c r="A37">
        <v>4</v>
      </c>
      <c r="B37" t="s">
        <v>22</v>
      </c>
      <c r="C37" t="s">
        <v>155</v>
      </c>
      <c r="D37">
        <v>115500</v>
      </c>
      <c r="E37">
        <v>117832</v>
      </c>
      <c r="F37">
        <v>2332</v>
      </c>
      <c r="G37">
        <v>2</v>
      </c>
      <c r="H37" t="s">
        <v>149</v>
      </c>
    </row>
    <row r="38" spans="1:8" ht="15" customHeight="1" x14ac:dyDescent="0.3">
      <c r="A38">
        <v>4</v>
      </c>
      <c r="B38" t="s">
        <v>22</v>
      </c>
      <c r="C38" t="s">
        <v>157</v>
      </c>
      <c r="D38">
        <v>57750</v>
      </c>
      <c r="E38">
        <v>56789</v>
      </c>
      <c r="F38">
        <v>-961</v>
      </c>
      <c r="G38">
        <v>-1.7</v>
      </c>
      <c r="H38" t="s">
        <v>149</v>
      </c>
    </row>
    <row r="39" spans="1:8" ht="15" customHeight="1" x14ac:dyDescent="0.3">
      <c r="A39">
        <v>4</v>
      </c>
      <c r="B39" t="s">
        <v>22</v>
      </c>
      <c r="C39" t="s">
        <v>158</v>
      </c>
      <c r="D39">
        <v>42000</v>
      </c>
      <c r="E39">
        <v>40814</v>
      </c>
      <c r="F39">
        <v>-1186</v>
      </c>
      <c r="G39">
        <v>-2.8</v>
      </c>
      <c r="H39" t="s">
        <v>149</v>
      </c>
    </row>
    <row r="40" spans="1:8" ht="15" customHeight="1" x14ac:dyDescent="0.3">
      <c r="A40">
        <v>4</v>
      </c>
      <c r="B40" t="s">
        <v>22</v>
      </c>
      <c r="C40" t="s">
        <v>159</v>
      </c>
      <c r="D40">
        <v>78750</v>
      </c>
      <c r="E40">
        <v>79390</v>
      </c>
      <c r="F40">
        <v>640</v>
      </c>
      <c r="G40">
        <v>0.8</v>
      </c>
      <c r="H40" t="s">
        <v>149</v>
      </c>
    </row>
    <row r="41" spans="1:8" ht="15" customHeight="1" x14ac:dyDescent="0.3">
      <c r="A41">
        <v>4</v>
      </c>
      <c r="B41" t="s">
        <v>22</v>
      </c>
      <c r="C41" t="s">
        <v>160</v>
      </c>
      <c r="D41">
        <v>31500</v>
      </c>
      <c r="E41">
        <v>32457</v>
      </c>
      <c r="F41">
        <v>957</v>
      </c>
      <c r="G41">
        <v>3</v>
      </c>
      <c r="H41" t="s">
        <v>149</v>
      </c>
    </row>
    <row r="42" spans="1:8" ht="15" customHeight="1" x14ac:dyDescent="0.3">
      <c r="A42">
        <v>5</v>
      </c>
      <c r="B42" t="s">
        <v>23</v>
      </c>
      <c r="C42" t="s">
        <v>148</v>
      </c>
      <c r="D42">
        <v>715000</v>
      </c>
      <c r="E42">
        <v>693930</v>
      </c>
      <c r="F42">
        <v>-21070</v>
      </c>
      <c r="G42">
        <v>-2.9</v>
      </c>
      <c r="H42" t="s">
        <v>149</v>
      </c>
    </row>
    <row r="43" spans="1:8" ht="15" customHeight="1" x14ac:dyDescent="0.3">
      <c r="A43">
        <v>5</v>
      </c>
      <c r="B43" t="s">
        <v>23</v>
      </c>
      <c r="C43" t="s">
        <v>150</v>
      </c>
      <c r="D43">
        <v>308000</v>
      </c>
      <c r="E43">
        <v>341602</v>
      </c>
      <c r="F43">
        <v>33602</v>
      </c>
      <c r="G43">
        <v>10.9</v>
      </c>
      <c r="H43" t="s">
        <v>151</v>
      </c>
    </row>
    <row r="44" spans="1:8" ht="15" customHeight="1" x14ac:dyDescent="0.3">
      <c r="A44">
        <v>5</v>
      </c>
      <c r="B44" t="s">
        <v>23</v>
      </c>
      <c r="C44" t="s">
        <v>152</v>
      </c>
      <c r="D44">
        <v>198000</v>
      </c>
      <c r="E44">
        <v>200453</v>
      </c>
      <c r="F44">
        <v>2453</v>
      </c>
      <c r="G44">
        <v>1.2</v>
      </c>
      <c r="H44" t="s">
        <v>149</v>
      </c>
    </row>
    <row r="45" spans="1:8" ht="15" customHeight="1" x14ac:dyDescent="0.3">
      <c r="A45">
        <v>5</v>
      </c>
      <c r="B45" t="s">
        <v>23</v>
      </c>
      <c r="C45" t="s">
        <v>153</v>
      </c>
      <c r="D45">
        <v>132000</v>
      </c>
      <c r="E45">
        <v>145786</v>
      </c>
      <c r="F45">
        <v>13786</v>
      </c>
      <c r="G45">
        <v>10.4</v>
      </c>
      <c r="H45" t="s">
        <v>151</v>
      </c>
    </row>
    <row r="46" spans="1:8" ht="15" customHeight="1" x14ac:dyDescent="0.3">
      <c r="A46">
        <v>5</v>
      </c>
      <c r="B46" t="s">
        <v>23</v>
      </c>
      <c r="C46" t="s">
        <v>154</v>
      </c>
      <c r="D46">
        <v>104500</v>
      </c>
      <c r="E46">
        <v>97463</v>
      </c>
      <c r="F46">
        <v>-7037</v>
      </c>
      <c r="G46">
        <v>-6.7</v>
      </c>
      <c r="H46" t="s">
        <v>156</v>
      </c>
    </row>
    <row r="47" spans="1:8" ht="15" customHeight="1" x14ac:dyDescent="0.3">
      <c r="A47">
        <v>5</v>
      </c>
      <c r="B47" t="s">
        <v>23</v>
      </c>
      <c r="C47" t="s">
        <v>155</v>
      </c>
      <c r="D47">
        <v>121000</v>
      </c>
      <c r="E47">
        <v>119583</v>
      </c>
      <c r="F47">
        <v>-1417</v>
      </c>
      <c r="G47">
        <v>-1.2</v>
      </c>
      <c r="H47" t="s">
        <v>149</v>
      </c>
    </row>
    <row r="48" spans="1:8" ht="15" customHeight="1" x14ac:dyDescent="0.3">
      <c r="A48">
        <v>5</v>
      </c>
      <c r="B48" t="s">
        <v>23</v>
      </c>
      <c r="C48" t="s">
        <v>157</v>
      </c>
      <c r="D48">
        <v>60500</v>
      </c>
      <c r="E48">
        <v>63286</v>
      </c>
      <c r="F48">
        <v>2786</v>
      </c>
      <c r="G48">
        <v>4.5999999999999996</v>
      </c>
      <c r="H48" t="s">
        <v>149</v>
      </c>
    </row>
    <row r="49" spans="1:8" ht="15" customHeight="1" x14ac:dyDescent="0.3">
      <c r="A49">
        <v>5</v>
      </c>
      <c r="B49" t="s">
        <v>23</v>
      </c>
      <c r="C49" t="s">
        <v>158</v>
      </c>
      <c r="D49">
        <v>44000</v>
      </c>
      <c r="E49">
        <v>46598</v>
      </c>
      <c r="F49">
        <v>2598</v>
      </c>
      <c r="G49">
        <v>5.9</v>
      </c>
      <c r="H49" t="s">
        <v>151</v>
      </c>
    </row>
    <row r="50" spans="1:8" ht="15" customHeight="1" x14ac:dyDescent="0.3">
      <c r="A50">
        <v>5</v>
      </c>
      <c r="B50" t="s">
        <v>23</v>
      </c>
      <c r="C50" t="s">
        <v>159</v>
      </c>
      <c r="D50">
        <v>82500</v>
      </c>
      <c r="E50">
        <v>81934</v>
      </c>
      <c r="F50">
        <v>-566</v>
      </c>
      <c r="G50">
        <v>-0.7</v>
      </c>
      <c r="H50" t="s">
        <v>149</v>
      </c>
    </row>
    <row r="51" spans="1:8" ht="15" customHeight="1" x14ac:dyDescent="0.3">
      <c r="A51">
        <v>5</v>
      </c>
      <c r="B51" t="s">
        <v>23</v>
      </c>
      <c r="C51" t="s">
        <v>160</v>
      </c>
      <c r="D51">
        <v>33000</v>
      </c>
      <c r="E51">
        <v>29838</v>
      </c>
      <c r="F51">
        <v>-3162</v>
      </c>
      <c r="G51">
        <v>-9.6</v>
      </c>
      <c r="H51" t="s">
        <v>156</v>
      </c>
    </row>
    <row r="52" spans="1:8" ht="15" customHeight="1" x14ac:dyDescent="0.3">
      <c r="A52">
        <v>6</v>
      </c>
      <c r="B52" t="s">
        <v>24</v>
      </c>
      <c r="C52" t="s">
        <v>148</v>
      </c>
      <c r="D52">
        <v>702000</v>
      </c>
      <c r="E52">
        <v>702693</v>
      </c>
      <c r="F52">
        <v>693</v>
      </c>
      <c r="G52">
        <v>0.1</v>
      </c>
      <c r="H52" t="s">
        <v>149</v>
      </c>
    </row>
    <row r="53" spans="1:8" ht="15" customHeight="1" x14ac:dyDescent="0.3">
      <c r="A53">
        <v>6</v>
      </c>
      <c r="B53" t="s">
        <v>24</v>
      </c>
      <c r="C53" t="s">
        <v>150</v>
      </c>
      <c r="D53">
        <v>302400</v>
      </c>
      <c r="E53">
        <v>295810</v>
      </c>
      <c r="F53">
        <v>-6590</v>
      </c>
      <c r="G53">
        <v>-2.2000000000000002</v>
      </c>
      <c r="H53" t="s">
        <v>149</v>
      </c>
    </row>
    <row r="54" spans="1:8" ht="15" customHeight="1" x14ac:dyDescent="0.3">
      <c r="A54">
        <v>6</v>
      </c>
      <c r="B54" t="s">
        <v>24</v>
      </c>
      <c r="C54" t="s">
        <v>152</v>
      </c>
      <c r="D54">
        <v>194400</v>
      </c>
      <c r="E54">
        <v>196613</v>
      </c>
      <c r="F54">
        <v>2213</v>
      </c>
      <c r="G54">
        <v>1.1000000000000001</v>
      </c>
      <c r="H54" t="s">
        <v>149</v>
      </c>
    </row>
    <row r="55" spans="1:8" ht="15" customHeight="1" x14ac:dyDescent="0.3">
      <c r="A55">
        <v>6</v>
      </c>
      <c r="B55" t="s">
        <v>24</v>
      </c>
      <c r="C55" t="s">
        <v>153</v>
      </c>
      <c r="D55">
        <v>129600</v>
      </c>
      <c r="E55">
        <v>161295</v>
      </c>
      <c r="F55">
        <v>31695</v>
      </c>
      <c r="G55">
        <v>24.5</v>
      </c>
      <c r="H55" t="s">
        <v>151</v>
      </c>
    </row>
    <row r="56" spans="1:8" ht="15" customHeight="1" x14ac:dyDescent="0.3">
      <c r="A56">
        <v>6</v>
      </c>
      <c r="B56" t="s">
        <v>24</v>
      </c>
      <c r="C56" t="s">
        <v>154</v>
      </c>
      <c r="D56">
        <v>102600</v>
      </c>
      <c r="E56">
        <v>101245</v>
      </c>
      <c r="F56">
        <v>-1355</v>
      </c>
      <c r="G56">
        <v>-1.3</v>
      </c>
      <c r="H56" t="s">
        <v>149</v>
      </c>
    </row>
    <row r="57" spans="1:8" ht="15" customHeight="1" x14ac:dyDescent="0.3">
      <c r="A57">
        <v>6</v>
      </c>
      <c r="B57" t="s">
        <v>24</v>
      </c>
      <c r="C57" t="s">
        <v>155</v>
      </c>
      <c r="D57">
        <v>118800</v>
      </c>
      <c r="E57">
        <v>111674</v>
      </c>
      <c r="F57">
        <v>-7126</v>
      </c>
      <c r="G57">
        <v>-6</v>
      </c>
      <c r="H57" t="s">
        <v>156</v>
      </c>
    </row>
    <row r="58" spans="1:8" ht="15" customHeight="1" x14ac:dyDescent="0.3">
      <c r="A58">
        <v>6</v>
      </c>
      <c r="B58" t="s">
        <v>24</v>
      </c>
      <c r="C58" t="s">
        <v>157</v>
      </c>
      <c r="D58">
        <v>59400</v>
      </c>
      <c r="E58">
        <v>61929</v>
      </c>
      <c r="F58">
        <v>2529</v>
      </c>
      <c r="G58">
        <v>4.3</v>
      </c>
      <c r="H58" t="s">
        <v>149</v>
      </c>
    </row>
    <row r="59" spans="1:8" ht="15" customHeight="1" x14ac:dyDescent="0.3">
      <c r="A59">
        <v>6</v>
      </c>
      <c r="B59" t="s">
        <v>24</v>
      </c>
      <c r="C59" t="s">
        <v>158</v>
      </c>
      <c r="D59">
        <v>43200</v>
      </c>
      <c r="E59">
        <v>40834</v>
      </c>
      <c r="F59">
        <v>-2366</v>
      </c>
      <c r="G59">
        <v>-5.5</v>
      </c>
      <c r="H59" t="s">
        <v>156</v>
      </c>
    </row>
    <row r="60" spans="1:8" ht="15" customHeight="1" x14ac:dyDescent="0.3">
      <c r="A60">
        <v>6</v>
      </c>
      <c r="B60" t="s">
        <v>24</v>
      </c>
      <c r="C60" t="s">
        <v>159</v>
      </c>
      <c r="D60">
        <v>81000</v>
      </c>
      <c r="E60">
        <v>82930</v>
      </c>
      <c r="F60">
        <v>1930</v>
      </c>
      <c r="G60">
        <v>2.4</v>
      </c>
      <c r="H60" t="s">
        <v>149</v>
      </c>
    </row>
    <row r="61" spans="1:8" ht="15" customHeight="1" x14ac:dyDescent="0.3">
      <c r="A61">
        <v>6</v>
      </c>
      <c r="B61" t="s">
        <v>24</v>
      </c>
      <c r="C61" t="s">
        <v>160</v>
      </c>
      <c r="D61">
        <v>32400</v>
      </c>
      <c r="E61">
        <v>34969</v>
      </c>
      <c r="F61">
        <v>2569</v>
      </c>
      <c r="G61">
        <v>7.9</v>
      </c>
      <c r="H61" t="s">
        <v>151</v>
      </c>
    </row>
    <row r="62" spans="1:8" ht="15" customHeight="1" x14ac:dyDescent="0.3">
      <c r="A62">
        <v>7</v>
      </c>
      <c r="B62" t="s">
        <v>25</v>
      </c>
      <c r="C62" t="s">
        <v>148</v>
      </c>
      <c r="D62">
        <v>617500</v>
      </c>
      <c r="E62">
        <v>639098</v>
      </c>
      <c r="F62">
        <v>21598</v>
      </c>
      <c r="G62">
        <v>3.5</v>
      </c>
      <c r="H62" t="s">
        <v>149</v>
      </c>
    </row>
    <row r="63" spans="1:8" ht="15" customHeight="1" x14ac:dyDescent="0.3">
      <c r="A63">
        <v>7</v>
      </c>
      <c r="B63" t="s">
        <v>25</v>
      </c>
      <c r="C63" t="s">
        <v>150</v>
      </c>
      <c r="D63">
        <v>266000</v>
      </c>
      <c r="E63">
        <v>248738</v>
      </c>
      <c r="F63">
        <v>-17262</v>
      </c>
      <c r="G63">
        <v>-6.5</v>
      </c>
      <c r="H63" t="s">
        <v>156</v>
      </c>
    </row>
    <row r="64" spans="1:8" ht="15" customHeight="1" x14ac:dyDescent="0.3">
      <c r="A64">
        <v>7</v>
      </c>
      <c r="B64" t="s">
        <v>25</v>
      </c>
      <c r="C64" t="s">
        <v>152</v>
      </c>
      <c r="D64">
        <v>171000</v>
      </c>
      <c r="E64">
        <v>167900</v>
      </c>
      <c r="F64">
        <v>-3100</v>
      </c>
      <c r="G64">
        <v>-1.8</v>
      </c>
      <c r="H64" t="s">
        <v>149</v>
      </c>
    </row>
    <row r="65" spans="1:8" ht="15" customHeight="1" x14ac:dyDescent="0.3">
      <c r="A65">
        <v>7</v>
      </c>
      <c r="B65" t="s">
        <v>25</v>
      </c>
      <c r="C65" t="s">
        <v>153</v>
      </c>
      <c r="D65">
        <v>114000</v>
      </c>
      <c r="E65">
        <v>116802</v>
      </c>
      <c r="F65">
        <v>2802</v>
      </c>
      <c r="G65">
        <v>2.5</v>
      </c>
      <c r="H65" t="s">
        <v>149</v>
      </c>
    </row>
    <row r="66" spans="1:8" ht="15" customHeight="1" x14ac:dyDescent="0.3">
      <c r="A66">
        <v>7</v>
      </c>
      <c r="B66" t="s">
        <v>25</v>
      </c>
      <c r="C66" t="s">
        <v>154</v>
      </c>
      <c r="D66">
        <v>90250</v>
      </c>
      <c r="E66">
        <v>90513</v>
      </c>
      <c r="F66">
        <v>263</v>
      </c>
      <c r="G66">
        <v>0.3</v>
      </c>
      <c r="H66" t="s">
        <v>149</v>
      </c>
    </row>
    <row r="67" spans="1:8" ht="15" customHeight="1" x14ac:dyDescent="0.3">
      <c r="A67">
        <v>7</v>
      </c>
      <c r="B67" t="s">
        <v>25</v>
      </c>
      <c r="C67" t="s">
        <v>155</v>
      </c>
      <c r="D67">
        <v>104500</v>
      </c>
      <c r="E67">
        <v>102762</v>
      </c>
      <c r="F67">
        <v>-1738</v>
      </c>
      <c r="G67">
        <v>-1.7</v>
      </c>
      <c r="H67" t="s">
        <v>149</v>
      </c>
    </row>
    <row r="68" spans="1:8" ht="15" customHeight="1" x14ac:dyDescent="0.3">
      <c r="A68">
        <v>7</v>
      </c>
      <c r="B68" t="s">
        <v>25</v>
      </c>
      <c r="C68" t="s">
        <v>157</v>
      </c>
      <c r="D68">
        <v>52250</v>
      </c>
      <c r="E68">
        <v>54763</v>
      </c>
      <c r="F68">
        <v>2513</v>
      </c>
      <c r="G68">
        <v>4.8</v>
      </c>
      <c r="H68" t="s">
        <v>149</v>
      </c>
    </row>
    <row r="69" spans="1:8" ht="15" customHeight="1" x14ac:dyDescent="0.3">
      <c r="A69">
        <v>7</v>
      </c>
      <c r="B69" t="s">
        <v>25</v>
      </c>
      <c r="C69" t="s">
        <v>158</v>
      </c>
      <c r="D69">
        <v>38000</v>
      </c>
      <c r="E69">
        <v>40034</v>
      </c>
      <c r="F69">
        <v>2034</v>
      </c>
      <c r="G69">
        <v>5.4</v>
      </c>
      <c r="H69" t="s">
        <v>151</v>
      </c>
    </row>
    <row r="70" spans="1:8" ht="15" customHeight="1" x14ac:dyDescent="0.3">
      <c r="A70">
        <v>7</v>
      </c>
      <c r="B70" t="s">
        <v>25</v>
      </c>
      <c r="C70" t="s">
        <v>159</v>
      </c>
      <c r="D70">
        <v>71250</v>
      </c>
      <c r="E70">
        <v>71993</v>
      </c>
      <c r="F70">
        <v>743</v>
      </c>
      <c r="G70">
        <v>1</v>
      </c>
      <c r="H70" t="s">
        <v>149</v>
      </c>
    </row>
    <row r="71" spans="1:8" ht="15" customHeight="1" x14ac:dyDescent="0.3">
      <c r="A71">
        <v>7</v>
      </c>
      <c r="B71" t="s">
        <v>25</v>
      </c>
      <c r="C71" t="s">
        <v>160</v>
      </c>
      <c r="D71">
        <v>28500</v>
      </c>
      <c r="E71">
        <v>25826</v>
      </c>
      <c r="F71">
        <v>-2674</v>
      </c>
      <c r="G71">
        <v>-9.4</v>
      </c>
      <c r="H71" t="s">
        <v>156</v>
      </c>
    </row>
    <row r="72" spans="1:8" ht="15" customHeight="1" x14ac:dyDescent="0.3">
      <c r="A72">
        <v>8</v>
      </c>
      <c r="B72" t="s">
        <v>26</v>
      </c>
      <c r="C72" t="s">
        <v>148</v>
      </c>
      <c r="D72">
        <v>630500</v>
      </c>
      <c r="E72">
        <v>643531</v>
      </c>
      <c r="F72">
        <v>13031</v>
      </c>
      <c r="G72">
        <v>2.1</v>
      </c>
      <c r="H72" t="s">
        <v>149</v>
      </c>
    </row>
    <row r="73" spans="1:8" ht="15" customHeight="1" x14ac:dyDescent="0.3">
      <c r="A73">
        <v>8</v>
      </c>
      <c r="B73" t="s">
        <v>26</v>
      </c>
      <c r="C73" t="s">
        <v>150</v>
      </c>
      <c r="D73">
        <v>271600</v>
      </c>
      <c r="E73">
        <v>293506</v>
      </c>
      <c r="F73">
        <v>21906</v>
      </c>
      <c r="G73">
        <v>8.1</v>
      </c>
      <c r="H73" t="s">
        <v>151</v>
      </c>
    </row>
    <row r="74" spans="1:8" ht="15" customHeight="1" x14ac:dyDescent="0.3">
      <c r="A74">
        <v>8</v>
      </c>
      <c r="B74" t="s">
        <v>26</v>
      </c>
      <c r="C74" t="s">
        <v>152</v>
      </c>
      <c r="D74">
        <v>174600</v>
      </c>
      <c r="E74">
        <v>174522</v>
      </c>
      <c r="F74">
        <v>-78</v>
      </c>
      <c r="G74">
        <v>0</v>
      </c>
      <c r="H74" t="s">
        <v>149</v>
      </c>
    </row>
    <row r="75" spans="1:8" ht="15" customHeight="1" x14ac:dyDescent="0.3">
      <c r="A75">
        <v>8</v>
      </c>
      <c r="B75" t="s">
        <v>26</v>
      </c>
      <c r="C75" t="s">
        <v>153</v>
      </c>
      <c r="D75">
        <v>116400</v>
      </c>
      <c r="E75">
        <v>142637</v>
      </c>
      <c r="F75">
        <v>26237</v>
      </c>
      <c r="G75">
        <v>22.5</v>
      </c>
      <c r="H75" t="s">
        <v>151</v>
      </c>
    </row>
    <row r="76" spans="1:8" ht="15" customHeight="1" x14ac:dyDescent="0.3">
      <c r="A76">
        <v>8</v>
      </c>
      <c r="B76" t="s">
        <v>26</v>
      </c>
      <c r="C76" t="s">
        <v>154</v>
      </c>
      <c r="D76">
        <v>92150</v>
      </c>
      <c r="E76">
        <v>87609</v>
      </c>
      <c r="F76">
        <v>-4541</v>
      </c>
      <c r="G76">
        <v>-4.9000000000000004</v>
      </c>
      <c r="H76" t="s">
        <v>149</v>
      </c>
    </row>
    <row r="77" spans="1:8" ht="15" customHeight="1" x14ac:dyDescent="0.3">
      <c r="A77">
        <v>8</v>
      </c>
      <c r="B77" t="s">
        <v>26</v>
      </c>
      <c r="C77" t="s">
        <v>155</v>
      </c>
      <c r="D77">
        <v>106700</v>
      </c>
      <c r="E77">
        <v>103824</v>
      </c>
      <c r="F77">
        <v>-2876</v>
      </c>
      <c r="G77">
        <v>-2.7</v>
      </c>
      <c r="H77" t="s">
        <v>149</v>
      </c>
    </row>
    <row r="78" spans="1:8" ht="15" customHeight="1" x14ac:dyDescent="0.3">
      <c r="A78">
        <v>8</v>
      </c>
      <c r="B78" t="s">
        <v>26</v>
      </c>
      <c r="C78" t="s">
        <v>157</v>
      </c>
      <c r="D78">
        <v>53350</v>
      </c>
      <c r="E78">
        <v>51526</v>
      </c>
      <c r="F78">
        <v>-1824</v>
      </c>
      <c r="G78">
        <v>-3.4</v>
      </c>
      <c r="H78" t="s">
        <v>149</v>
      </c>
    </row>
    <row r="79" spans="1:8" ht="15" customHeight="1" x14ac:dyDescent="0.3">
      <c r="A79">
        <v>8</v>
      </c>
      <c r="B79" t="s">
        <v>26</v>
      </c>
      <c r="C79" t="s">
        <v>158</v>
      </c>
      <c r="D79">
        <v>38800</v>
      </c>
      <c r="E79">
        <v>40731</v>
      </c>
      <c r="F79">
        <v>1931</v>
      </c>
      <c r="G79">
        <v>5</v>
      </c>
      <c r="H79" t="s">
        <v>149</v>
      </c>
    </row>
    <row r="80" spans="1:8" ht="15" customHeight="1" x14ac:dyDescent="0.3">
      <c r="A80">
        <v>8</v>
      </c>
      <c r="B80" t="s">
        <v>26</v>
      </c>
      <c r="C80" t="s">
        <v>159</v>
      </c>
      <c r="D80">
        <v>72750</v>
      </c>
      <c r="E80">
        <v>73376</v>
      </c>
      <c r="F80">
        <v>626</v>
      </c>
      <c r="G80">
        <v>0.9</v>
      </c>
      <c r="H80" t="s">
        <v>149</v>
      </c>
    </row>
    <row r="81" spans="1:8" ht="15" customHeight="1" x14ac:dyDescent="0.3">
      <c r="A81">
        <v>8</v>
      </c>
      <c r="B81" t="s">
        <v>26</v>
      </c>
      <c r="C81" t="s">
        <v>160</v>
      </c>
      <c r="D81">
        <v>29100</v>
      </c>
      <c r="E81">
        <v>27897</v>
      </c>
      <c r="F81">
        <v>-1203</v>
      </c>
      <c r="G81">
        <v>-4.0999999999999996</v>
      </c>
      <c r="H81" t="s">
        <v>149</v>
      </c>
    </row>
    <row r="82" spans="1:8" ht="15" customHeight="1" x14ac:dyDescent="0.3">
      <c r="A82">
        <v>9</v>
      </c>
      <c r="B82" t="s">
        <v>27</v>
      </c>
      <c r="C82" t="s">
        <v>148</v>
      </c>
      <c r="D82">
        <v>650000</v>
      </c>
      <c r="E82">
        <v>637847</v>
      </c>
      <c r="F82">
        <v>-12153</v>
      </c>
      <c r="G82">
        <v>-1.9</v>
      </c>
      <c r="H82" t="s">
        <v>149</v>
      </c>
    </row>
    <row r="83" spans="1:8" ht="15" customHeight="1" x14ac:dyDescent="0.3">
      <c r="A83">
        <v>9</v>
      </c>
      <c r="B83" t="s">
        <v>27</v>
      </c>
      <c r="C83" t="s">
        <v>150</v>
      </c>
      <c r="D83">
        <v>280000</v>
      </c>
      <c r="E83">
        <v>249503</v>
      </c>
      <c r="F83">
        <v>-30497</v>
      </c>
      <c r="G83">
        <v>-10.9</v>
      </c>
      <c r="H83" t="s">
        <v>156</v>
      </c>
    </row>
    <row r="84" spans="1:8" ht="15" customHeight="1" x14ac:dyDescent="0.3">
      <c r="A84">
        <v>9</v>
      </c>
      <c r="B84" t="s">
        <v>27</v>
      </c>
      <c r="C84" t="s">
        <v>152</v>
      </c>
      <c r="D84">
        <v>180000</v>
      </c>
      <c r="E84">
        <v>177781</v>
      </c>
      <c r="F84">
        <v>-2219</v>
      </c>
      <c r="G84">
        <v>-1.2</v>
      </c>
      <c r="H84" t="s">
        <v>149</v>
      </c>
    </row>
    <row r="85" spans="1:8" ht="15" customHeight="1" x14ac:dyDescent="0.3">
      <c r="A85">
        <v>9</v>
      </c>
      <c r="B85" t="s">
        <v>27</v>
      </c>
      <c r="C85" t="s">
        <v>153</v>
      </c>
      <c r="D85">
        <v>120000</v>
      </c>
      <c r="E85">
        <v>121021</v>
      </c>
      <c r="F85">
        <v>1021</v>
      </c>
      <c r="G85">
        <v>0.9</v>
      </c>
      <c r="H85" t="s">
        <v>149</v>
      </c>
    </row>
    <row r="86" spans="1:8" ht="15" customHeight="1" x14ac:dyDescent="0.3">
      <c r="A86">
        <v>9</v>
      </c>
      <c r="B86" t="s">
        <v>27</v>
      </c>
      <c r="C86" t="s">
        <v>154</v>
      </c>
      <c r="D86">
        <v>95000</v>
      </c>
      <c r="E86">
        <v>91721</v>
      </c>
      <c r="F86">
        <v>-3279</v>
      </c>
      <c r="G86">
        <v>-3.5</v>
      </c>
      <c r="H86" t="s">
        <v>149</v>
      </c>
    </row>
    <row r="87" spans="1:8" ht="15" customHeight="1" x14ac:dyDescent="0.3">
      <c r="A87">
        <v>9</v>
      </c>
      <c r="B87" t="s">
        <v>27</v>
      </c>
      <c r="C87" t="s">
        <v>155</v>
      </c>
      <c r="D87">
        <v>110000</v>
      </c>
      <c r="E87">
        <v>106887</v>
      </c>
      <c r="F87">
        <v>-3113</v>
      </c>
      <c r="G87">
        <v>-2.8</v>
      </c>
      <c r="H87" t="s">
        <v>149</v>
      </c>
    </row>
    <row r="88" spans="1:8" ht="15" customHeight="1" x14ac:dyDescent="0.3">
      <c r="A88">
        <v>9</v>
      </c>
      <c r="B88" t="s">
        <v>27</v>
      </c>
      <c r="C88" t="s">
        <v>157</v>
      </c>
      <c r="D88">
        <v>55000</v>
      </c>
      <c r="E88">
        <v>57230</v>
      </c>
      <c r="F88">
        <v>2230</v>
      </c>
      <c r="G88">
        <v>4.0999999999999996</v>
      </c>
      <c r="H88" t="s">
        <v>149</v>
      </c>
    </row>
    <row r="89" spans="1:8" ht="15" customHeight="1" x14ac:dyDescent="0.3">
      <c r="A89">
        <v>9</v>
      </c>
      <c r="B89" t="s">
        <v>27</v>
      </c>
      <c r="C89" t="s">
        <v>158</v>
      </c>
      <c r="D89">
        <v>40000</v>
      </c>
      <c r="E89">
        <v>40444</v>
      </c>
      <c r="F89">
        <v>444</v>
      </c>
      <c r="G89">
        <v>1.1000000000000001</v>
      </c>
      <c r="H89" t="s">
        <v>149</v>
      </c>
    </row>
    <row r="90" spans="1:8" ht="15" customHeight="1" x14ac:dyDescent="0.3">
      <c r="A90">
        <v>9</v>
      </c>
      <c r="B90" t="s">
        <v>27</v>
      </c>
      <c r="C90" t="s">
        <v>159</v>
      </c>
      <c r="D90">
        <v>75000</v>
      </c>
      <c r="E90">
        <v>76016</v>
      </c>
      <c r="F90">
        <v>1016</v>
      </c>
      <c r="G90">
        <v>1.4</v>
      </c>
      <c r="H90" t="s">
        <v>149</v>
      </c>
    </row>
    <row r="91" spans="1:8" ht="15" customHeight="1" x14ac:dyDescent="0.3">
      <c r="A91">
        <v>9</v>
      </c>
      <c r="B91" t="s">
        <v>27</v>
      </c>
      <c r="C91" t="s">
        <v>160</v>
      </c>
      <c r="D91">
        <v>30000</v>
      </c>
      <c r="E91">
        <v>25870</v>
      </c>
      <c r="F91">
        <v>-4130</v>
      </c>
      <c r="G91">
        <v>-13.8</v>
      </c>
      <c r="H91" t="s">
        <v>156</v>
      </c>
    </row>
    <row r="92" spans="1:8" ht="15" customHeight="1" x14ac:dyDescent="0.3">
      <c r="A92">
        <v>10</v>
      </c>
      <c r="B92" t="s">
        <v>28</v>
      </c>
      <c r="C92" t="s">
        <v>148</v>
      </c>
      <c r="D92">
        <v>767000</v>
      </c>
      <c r="E92">
        <v>763316</v>
      </c>
      <c r="F92">
        <v>-3684</v>
      </c>
      <c r="G92">
        <v>-0.5</v>
      </c>
      <c r="H92" t="s">
        <v>149</v>
      </c>
    </row>
    <row r="93" spans="1:8" ht="15" customHeight="1" x14ac:dyDescent="0.3">
      <c r="A93">
        <v>10</v>
      </c>
      <c r="B93" t="s">
        <v>28</v>
      </c>
      <c r="C93" t="s">
        <v>150</v>
      </c>
      <c r="D93">
        <v>330400</v>
      </c>
      <c r="E93">
        <v>334448</v>
      </c>
      <c r="F93">
        <v>4048</v>
      </c>
      <c r="G93">
        <v>1.2</v>
      </c>
      <c r="H93" t="s">
        <v>149</v>
      </c>
    </row>
    <row r="94" spans="1:8" ht="15" customHeight="1" x14ac:dyDescent="0.3">
      <c r="A94">
        <v>10</v>
      </c>
      <c r="B94" t="s">
        <v>28</v>
      </c>
      <c r="C94" t="s">
        <v>152</v>
      </c>
      <c r="D94">
        <v>212400</v>
      </c>
      <c r="E94">
        <v>209973</v>
      </c>
      <c r="F94">
        <v>-2427</v>
      </c>
      <c r="G94">
        <v>-1.1000000000000001</v>
      </c>
      <c r="H94" t="s">
        <v>149</v>
      </c>
    </row>
    <row r="95" spans="1:8" ht="15" customHeight="1" x14ac:dyDescent="0.3">
      <c r="A95">
        <v>10</v>
      </c>
      <c r="B95" t="s">
        <v>28</v>
      </c>
      <c r="C95" t="s">
        <v>153</v>
      </c>
      <c r="D95">
        <v>141600</v>
      </c>
      <c r="E95">
        <v>121109</v>
      </c>
      <c r="F95">
        <v>-20491</v>
      </c>
      <c r="G95">
        <v>-14.5</v>
      </c>
      <c r="H95" t="s">
        <v>156</v>
      </c>
    </row>
    <row r="96" spans="1:8" ht="15" customHeight="1" x14ac:dyDescent="0.3">
      <c r="A96">
        <v>10</v>
      </c>
      <c r="B96" t="s">
        <v>28</v>
      </c>
      <c r="C96" t="s">
        <v>154</v>
      </c>
      <c r="D96">
        <v>112100</v>
      </c>
      <c r="E96">
        <v>121083</v>
      </c>
      <c r="F96">
        <v>8983</v>
      </c>
      <c r="G96">
        <v>8</v>
      </c>
      <c r="H96" t="s">
        <v>151</v>
      </c>
    </row>
    <row r="97" spans="1:8" ht="15" customHeight="1" x14ac:dyDescent="0.3">
      <c r="A97">
        <v>10</v>
      </c>
      <c r="B97" t="s">
        <v>28</v>
      </c>
      <c r="C97" t="s">
        <v>155</v>
      </c>
      <c r="D97">
        <v>129800</v>
      </c>
      <c r="E97">
        <v>140346</v>
      </c>
      <c r="F97">
        <v>10546</v>
      </c>
      <c r="G97">
        <v>8.1</v>
      </c>
      <c r="H97" t="s">
        <v>151</v>
      </c>
    </row>
    <row r="98" spans="1:8" ht="15" customHeight="1" x14ac:dyDescent="0.3">
      <c r="A98">
        <v>10</v>
      </c>
      <c r="B98" t="s">
        <v>28</v>
      </c>
      <c r="C98" t="s">
        <v>157</v>
      </c>
      <c r="D98">
        <v>64900</v>
      </c>
      <c r="E98">
        <v>62775</v>
      </c>
      <c r="F98">
        <v>-2125</v>
      </c>
      <c r="G98">
        <v>-3.3</v>
      </c>
      <c r="H98" t="s">
        <v>149</v>
      </c>
    </row>
    <row r="99" spans="1:8" ht="15" customHeight="1" x14ac:dyDescent="0.3">
      <c r="A99">
        <v>10</v>
      </c>
      <c r="B99" t="s">
        <v>28</v>
      </c>
      <c r="C99" t="s">
        <v>158</v>
      </c>
      <c r="D99">
        <v>47200</v>
      </c>
      <c r="E99">
        <v>46641</v>
      </c>
      <c r="F99">
        <v>-559</v>
      </c>
      <c r="G99">
        <v>-1.2</v>
      </c>
      <c r="H99" t="s">
        <v>149</v>
      </c>
    </row>
    <row r="100" spans="1:8" ht="15" customHeight="1" x14ac:dyDescent="0.3">
      <c r="A100">
        <v>10</v>
      </c>
      <c r="B100" t="s">
        <v>28</v>
      </c>
      <c r="C100" t="s">
        <v>159</v>
      </c>
      <c r="D100">
        <v>88500</v>
      </c>
      <c r="E100">
        <v>90631</v>
      </c>
      <c r="F100">
        <v>2131</v>
      </c>
      <c r="G100">
        <v>2.4</v>
      </c>
      <c r="H100" t="s">
        <v>149</v>
      </c>
    </row>
    <row r="101" spans="1:8" ht="15" customHeight="1" x14ac:dyDescent="0.3">
      <c r="A101">
        <v>10</v>
      </c>
      <c r="B101" t="s">
        <v>28</v>
      </c>
      <c r="C101" t="s">
        <v>160</v>
      </c>
      <c r="D101">
        <v>35400</v>
      </c>
      <c r="E101">
        <v>31106</v>
      </c>
      <c r="F101">
        <v>-4294</v>
      </c>
      <c r="G101">
        <v>-12.1</v>
      </c>
      <c r="H101" t="s">
        <v>156</v>
      </c>
    </row>
    <row r="102" spans="1:8" ht="15" customHeight="1" x14ac:dyDescent="0.3">
      <c r="A102">
        <v>11</v>
      </c>
      <c r="B102" t="s">
        <v>29</v>
      </c>
      <c r="C102" t="s">
        <v>148</v>
      </c>
      <c r="D102">
        <v>793000</v>
      </c>
      <c r="E102">
        <v>804428</v>
      </c>
      <c r="F102">
        <v>11428</v>
      </c>
      <c r="G102">
        <v>1.4</v>
      </c>
      <c r="H102" t="s">
        <v>149</v>
      </c>
    </row>
    <row r="103" spans="1:8" ht="15" customHeight="1" x14ac:dyDescent="0.3">
      <c r="A103">
        <v>11</v>
      </c>
      <c r="B103" t="s">
        <v>29</v>
      </c>
      <c r="C103" t="s">
        <v>150</v>
      </c>
      <c r="D103">
        <v>341600</v>
      </c>
      <c r="E103">
        <v>392271</v>
      </c>
      <c r="F103">
        <v>50671</v>
      </c>
      <c r="G103">
        <v>14.8</v>
      </c>
      <c r="H103" t="s">
        <v>151</v>
      </c>
    </row>
    <row r="104" spans="1:8" ht="15" customHeight="1" x14ac:dyDescent="0.3">
      <c r="A104">
        <v>11</v>
      </c>
      <c r="B104" t="s">
        <v>29</v>
      </c>
      <c r="C104" t="s">
        <v>152</v>
      </c>
      <c r="D104">
        <v>219600</v>
      </c>
      <c r="E104">
        <v>225090</v>
      </c>
      <c r="F104">
        <v>5490</v>
      </c>
      <c r="G104">
        <v>2.5</v>
      </c>
      <c r="H104" t="s">
        <v>149</v>
      </c>
    </row>
    <row r="105" spans="1:8" ht="15" customHeight="1" x14ac:dyDescent="0.3">
      <c r="A105">
        <v>11</v>
      </c>
      <c r="B105" t="s">
        <v>29</v>
      </c>
      <c r="C105" t="s">
        <v>153</v>
      </c>
      <c r="D105">
        <v>146400</v>
      </c>
      <c r="E105">
        <v>148854</v>
      </c>
      <c r="F105">
        <v>2454</v>
      </c>
      <c r="G105">
        <v>1.7</v>
      </c>
      <c r="H105" t="s">
        <v>149</v>
      </c>
    </row>
    <row r="106" spans="1:8" ht="15" customHeight="1" x14ac:dyDescent="0.3">
      <c r="A106">
        <v>11</v>
      </c>
      <c r="B106" t="s">
        <v>29</v>
      </c>
      <c r="C106" t="s">
        <v>154</v>
      </c>
      <c r="D106">
        <v>115900</v>
      </c>
      <c r="E106">
        <v>110099</v>
      </c>
      <c r="F106">
        <v>-5801</v>
      </c>
      <c r="G106">
        <v>-5</v>
      </c>
      <c r="H106" t="s">
        <v>156</v>
      </c>
    </row>
    <row r="107" spans="1:8" ht="15" customHeight="1" x14ac:dyDescent="0.3">
      <c r="A107">
        <v>11</v>
      </c>
      <c r="B107" t="s">
        <v>29</v>
      </c>
      <c r="C107" t="s">
        <v>155</v>
      </c>
      <c r="D107">
        <v>134200</v>
      </c>
      <c r="E107">
        <v>129172</v>
      </c>
      <c r="F107">
        <v>-5028</v>
      </c>
      <c r="G107">
        <v>-3.7</v>
      </c>
      <c r="H107" t="s">
        <v>149</v>
      </c>
    </row>
    <row r="108" spans="1:8" ht="15" customHeight="1" x14ac:dyDescent="0.3">
      <c r="A108">
        <v>11</v>
      </c>
      <c r="B108" t="s">
        <v>29</v>
      </c>
      <c r="C108" t="s">
        <v>157</v>
      </c>
      <c r="D108">
        <v>67100</v>
      </c>
      <c r="E108">
        <v>69908</v>
      </c>
      <c r="F108">
        <v>2808</v>
      </c>
      <c r="G108">
        <v>4.2</v>
      </c>
      <c r="H108" t="s">
        <v>149</v>
      </c>
    </row>
    <row r="109" spans="1:8" ht="15" customHeight="1" x14ac:dyDescent="0.3">
      <c r="A109">
        <v>11</v>
      </c>
      <c r="B109" t="s">
        <v>29</v>
      </c>
      <c r="C109" t="s">
        <v>158</v>
      </c>
      <c r="D109">
        <v>48800</v>
      </c>
      <c r="E109">
        <v>52012</v>
      </c>
      <c r="F109">
        <v>3212</v>
      </c>
      <c r="G109">
        <v>6.6</v>
      </c>
      <c r="H109" t="s">
        <v>151</v>
      </c>
    </row>
    <row r="110" spans="1:8" ht="15" customHeight="1" x14ac:dyDescent="0.3">
      <c r="A110">
        <v>11</v>
      </c>
      <c r="B110" t="s">
        <v>29</v>
      </c>
      <c r="C110" t="s">
        <v>159</v>
      </c>
      <c r="D110">
        <v>91500</v>
      </c>
      <c r="E110">
        <v>92229</v>
      </c>
      <c r="F110">
        <v>729</v>
      </c>
      <c r="G110">
        <v>0.8</v>
      </c>
      <c r="H110" t="s">
        <v>149</v>
      </c>
    </row>
    <row r="111" spans="1:8" ht="15" customHeight="1" x14ac:dyDescent="0.3">
      <c r="A111">
        <v>11</v>
      </c>
      <c r="B111" t="s">
        <v>29</v>
      </c>
      <c r="C111" t="s">
        <v>160</v>
      </c>
      <c r="D111">
        <v>36600</v>
      </c>
      <c r="E111">
        <v>40785</v>
      </c>
      <c r="F111">
        <v>4185</v>
      </c>
      <c r="G111">
        <v>11.4</v>
      </c>
      <c r="H111" t="s">
        <v>151</v>
      </c>
    </row>
    <row r="112" spans="1:8" ht="15" customHeight="1" x14ac:dyDescent="0.3">
      <c r="A112">
        <v>12</v>
      </c>
      <c r="B112" t="s">
        <v>30</v>
      </c>
      <c r="C112" t="s">
        <v>148</v>
      </c>
      <c r="D112">
        <v>682500</v>
      </c>
      <c r="E112">
        <v>696870</v>
      </c>
      <c r="F112">
        <v>14370</v>
      </c>
      <c r="G112">
        <v>2.1</v>
      </c>
      <c r="H112" t="s">
        <v>149</v>
      </c>
    </row>
    <row r="113" spans="1:8" ht="15" customHeight="1" x14ac:dyDescent="0.3">
      <c r="A113">
        <v>12</v>
      </c>
      <c r="B113" t="s">
        <v>30</v>
      </c>
      <c r="C113" t="s">
        <v>150</v>
      </c>
      <c r="D113">
        <v>294000</v>
      </c>
      <c r="E113">
        <v>312423</v>
      </c>
      <c r="F113">
        <v>18423</v>
      </c>
      <c r="G113">
        <v>6.3</v>
      </c>
      <c r="H113" t="s">
        <v>151</v>
      </c>
    </row>
    <row r="114" spans="1:8" ht="15" customHeight="1" x14ac:dyDescent="0.3">
      <c r="A114">
        <v>12</v>
      </c>
      <c r="B114" t="s">
        <v>30</v>
      </c>
      <c r="C114" t="s">
        <v>152</v>
      </c>
      <c r="D114">
        <v>189000</v>
      </c>
      <c r="E114">
        <v>192412</v>
      </c>
      <c r="F114">
        <v>3412</v>
      </c>
      <c r="G114">
        <v>1.8</v>
      </c>
      <c r="H114" t="s">
        <v>149</v>
      </c>
    </row>
    <row r="115" spans="1:8" ht="15" customHeight="1" x14ac:dyDescent="0.3">
      <c r="A115">
        <v>12</v>
      </c>
      <c r="B115" t="s">
        <v>30</v>
      </c>
      <c r="C115" t="s">
        <v>153</v>
      </c>
      <c r="D115">
        <v>126000</v>
      </c>
      <c r="E115">
        <v>140526</v>
      </c>
      <c r="F115">
        <v>14526</v>
      </c>
      <c r="G115">
        <v>11.5</v>
      </c>
      <c r="H115" t="s">
        <v>151</v>
      </c>
    </row>
    <row r="116" spans="1:8" ht="15" customHeight="1" x14ac:dyDescent="0.3">
      <c r="A116">
        <v>12</v>
      </c>
      <c r="B116" t="s">
        <v>30</v>
      </c>
      <c r="C116" t="s">
        <v>154</v>
      </c>
      <c r="D116">
        <v>99750</v>
      </c>
      <c r="E116">
        <v>101571</v>
      </c>
      <c r="F116">
        <v>1821</v>
      </c>
      <c r="G116">
        <v>1.8</v>
      </c>
      <c r="H116" t="s">
        <v>149</v>
      </c>
    </row>
    <row r="117" spans="1:8" ht="15" customHeight="1" x14ac:dyDescent="0.3">
      <c r="A117">
        <v>12</v>
      </c>
      <c r="B117" t="s">
        <v>30</v>
      </c>
      <c r="C117" t="s">
        <v>155</v>
      </c>
      <c r="D117">
        <v>115500</v>
      </c>
      <c r="E117">
        <v>111821</v>
      </c>
      <c r="F117">
        <v>-3679</v>
      </c>
      <c r="G117">
        <v>-3.2</v>
      </c>
      <c r="H117" t="s">
        <v>149</v>
      </c>
    </row>
    <row r="118" spans="1:8" ht="15" customHeight="1" x14ac:dyDescent="0.3">
      <c r="A118">
        <v>12</v>
      </c>
      <c r="B118" t="s">
        <v>30</v>
      </c>
      <c r="C118" t="s">
        <v>157</v>
      </c>
      <c r="D118">
        <v>57750</v>
      </c>
      <c r="E118">
        <v>59392</v>
      </c>
      <c r="F118">
        <v>1642</v>
      </c>
      <c r="G118">
        <v>2.8</v>
      </c>
      <c r="H118" t="s">
        <v>149</v>
      </c>
    </row>
    <row r="119" spans="1:8" ht="15" customHeight="1" x14ac:dyDescent="0.3">
      <c r="A119">
        <v>12</v>
      </c>
      <c r="B119" t="s">
        <v>30</v>
      </c>
      <c r="C119" t="s">
        <v>158</v>
      </c>
      <c r="D119">
        <v>42000</v>
      </c>
      <c r="E119">
        <v>42224</v>
      </c>
      <c r="F119">
        <v>224</v>
      </c>
      <c r="G119">
        <v>0.5</v>
      </c>
      <c r="H119" t="s">
        <v>149</v>
      </c>
    </row>
    <row r="120" spans="1:8" ht="15" customHeight="1" x14ac:dyDescent="0.3">
      <c r="A120">
        <v>12</v>
      </c>
      <c r="B120" t="s">
        <v>30</v>
      </c>
      <c r="C120" t="s">
        <v>159</v>
      </c>
      <c r="D120">
        <v>78750</v>
      </c>
      <c r="E120">
        <v>78243</v>
      </c>
      <c r="F120">
        <v>-507</v>
      </c>
      <c r="G120">
        <v>-0.6</v>
      </c>
      <c r="H120" t="s">
        <v>149</v>
      </c>
    </row>
    <row r="121" spans="1:8" ht="15" customHeight="1" x14ac:dyDescent="0.3">
      <c r="A121">
        <v>12</v>
      </c>
      <c r="B121" t="s">
        <v>30</v>
      </c>
      <c r="C121" t="s">
        <v>160</v>
      </c>
      <c r="D121">
        <v>31500</v>
      </c>
      <c r="E121">
        <v>35490</v>
      </c>
      <c r="F121">
        <v>3990</v>
      </c>
      <c r="G121">
        <v>12.7</v>
      </c>
      <c r="H121" t="s">
        <v>151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148C"/>
  </sheetPr>
  <dimension ref="A1:J16"/>
  <sheetViews>
    <sheetView showGridLines="0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G5" sqref="G5"/>
    </sheetView>
  </sheetViews>
  <sheetFormatPr defaultColWidth="8.6640625" defaultRowHeight="14.4" x14ac:dyDescent="0.3"/>
  <cols>
    <col min="1" max="1" width="5" customWidth="1"/>
    <col min="2" max="2" width="20" customWidth="1"/>
    <col min="3" max="3" width="18" customWidth="1"/>
    <col min="4" max="4" width="27.88671875" customWidth="1"/>
    <col min="5" max="5" width="30" customWidth="1"/>
    <col min="6" max="6" width="30.6640625" customWidth="1"/>
    <col min="7" max="7" width="21.109375" customWidth="1"/>
    <col min="8" max="8" width="25.88671875" customWidth="1"/>
    <col min="9" max="9" width="21.5546875" customWidth="1"/>
    <col min="10" max="10" width="10" customWidth="1"/>
  </cols>
  <sheetData>
    <row r="1" spans="1:10" ht="31.5" customHeight="1" x14ac:dyDescent="0.3">
      <c r="A1" s="44" t="s">
        <v>161</v>
      </c>
      <c r="B1" s="44"/>
      <c r="C1" s="44"/>
      <c r="D1" s="44"/>
      <c r="E1" s="44"/>
      <c r="F1" s="44"/>
      <c r="G1" s="44"/>
      <c r="H1" s="44"/>
      <c r="I1" s="44"/>
    </row>
    <row r="2" spans="1:10" ht="19.5" customHeight="1" x14ac:dyDescent="0.3">
      <c r="A2" s="45" t="s">
        <v>162</v>
      </c>
      <c r="B2" s="45"/>
      <c r="C2" s="45"/>
      <c r="D2" s="45"/>
      <c r="E2" s="45"/>
      <c r="F2" s="45"/>
      <c r="G2" s="45"/>
      <c r="H2" s="45"/>
      <c r="I2" s="45"/>
    </row>
    <row r="3" spans="1:10" ht="7.5" customHeight="1" x14ac:dyDescent="0.3"/>
    <row r="4" spans="1:10" ht="21.75" customHeight="1" x14ac:dyDescent="0.3">
      <c r="B4" s="2" t="s">
        <v>163</v>
      </c>
      <c r="C4" s="3" t="s">
        <v>164</v>
      </c>
      <c r="D4" s="4" t="s">
        <v>165</v>
      </c>
      <c r="E4" s="5" t="s">
        <v>166</v>
      </c>
      <c r="F4" s="9" t="s">
        <v>167</v>
      </c>
      <c r="G4" s="6" t="s">
        <v>168</v>
      </c>
      <c r="H4" s="7" t="s">
        <v>169</v>
      </c>
      <c r="I4" s="8" t="s">
        <v>170</v>
      </c>
    </row>
    <row r="5" spans="1:10" ht="30" customHeight="1" x14ac:dyDescent="0.3">
      <c r="B5" s="22">
        <f>COUNTA(DATA_REP!B2:B9)</f>
        <v>8</v>
      </c>
      <c r="C5" s="10">
        <f>SUM(DATA_REP!D2:D9)</f>
        <v>57579896.829999998</v>
      </c>
      <c r="D5" s="37">
        <f>IFERROR(AVERAGE(DATA_REP!I2:I9),0)</f>
        <v>409.36250000000001</v>
      </c>
      <c r="E5" s="28" t="str">
        <f>INDEX(DATA_REP!B2:B9,MATCH(MAX(DATA_REP!D2:D9),DATA_REP!D2:D9,0))</f>
        <v>Ravi Deshmukh</v>
      </c>
      <c r="F5" s="22">
        <f>COUNTIF(DATA_REP!I2:I9,"&lt;90")</f>
        <v>0</v>
      </c>
      <c r="G5" s="22">
        <f>COUNTIF(DATA_REP!I2:I9,"&gt;=95")</f>
        <v>8</v>
      </c>
      <c r="H5" s="10">
        <f>SUM(DATA_REP!F2:F9)</f>
        <v>19942237.640000001</v>
      </c>
      <c r="I5" s="22">
        <f>SUM(DATA_REP!G2:G9)</f>
        <v>9420</v>
      </c>
    </row>
    <row r="6" spans="1:10" ht="7.5" customHeight="1" x14ac:dyDescent="0.3"/>
    <row r="7" spans="1:10" ht="27.75" customHeight="1" x14ac:dyDescent="0.3">
      <c r="A7" s="12" t="s">
        <v>40</v>
      </c>
      <c r="B7" s="12" t="s">
        <v>171</v>
      </c>
      <c r="C7" s="12" t="s">
        <v>172</v>
      </c>
      <c r="D7" s="12" t="s">
        <v>173</v>
      </c>
      <c r="E7" s="12" t="s">
        <v>174</v>
      </c>
      <c r="F7" s="12" t="s">
        <v>44</v>
      </c>
      <c r="G7" s="12" t="s">
        <v>175</v>
      </c>
      <c r="H7" s="12" t="s">
        <v>45</v>
      </c>
      <c r="I7" s="12" t="s">
        <v>176</v>
      </c>
      <c r="J7" s="12" t="s">
        <v>177</v>
      </c>
    </row>
    <row r="8" spans="1:10" ht="18" customHeight="1" x14ac:dyDescent="0.3">
      <c r="A8" s="13">
        <v>1</v>
      </c>
      <c r="B8" s="13" t="str">
        <f>DATA_REP!B2</f>
        <v>Ravi Deshmukh</v>
      </c>
      <c r="C8" s="13" t="str">
        <f>DATA_REP!C2</f>
        <v>Nagpur East</v>
      </c>
      <c r="D8" s="14">
        <f>DATA_REP!D2</f>
        <v>8655178.1600000001</v>
      </c>
      <c r="E8" s="14">
        <f>DATA_REP!H2</f>
        <v>2100000</v>
      </c>
      <c r="F8" s="15">
        <f t="shared" ref="F8:F16" si="0">IFERROR(D8/E8*100,0)</f>
        <v>412.15134095238096</v>
      </c>
      <c r="G8" s="24">
        <f>DATA_REP!E2</f>
        <v>104827</v>
      </c>
      <c r="H8" s="14">
        <f>DATA_REP!F2</f>
        <v>2999742.37</v>
      </c>
      <c r="I8" s="24">
        <f>DATA_REP!G2</f>
        <v>1408</v>
      </c>
      <c r="J8" s="13">
        <f t="shared" ref="J8:J15" si="1">RANK(D8,D$8:D$15,0)</f>
        <v>1</v>
      </c>
    </row>
    <row r="9" spans="1:10" ht="18" customHeight="1" x14ac:dyDescent="0.3">
      <c r="A9" s="16">
        <v>2</v>
      </c>
      <c r="B9" s="16" t="str">
        <f>DATA_REP!B3</f>
        <v>Sanjay Bhagat</v>
      </c>
      <c r="C9" s="16" t="str">
        <f>DATA_REP!C3</f>
        <v>Nagpur West</v>
      </c>
      <c r="D9" s="17">
        <f>DATA_REP!D3</f>
        <v>8187190</v>
      </c>
      <c r="E9" s="17">
        <f>DATA_REP!H3</f>
        <v>1980000</v>
      </c>
      <c r="F9" s="18">
        <f t="shared" si="0"/>
        <v>413.49444444444447</v>
      </c>
      <c r="G9" s="25">
        <f>DATA_REP!E3</f>
        <v>100636</v>
      </c>
      <c r="H9" s="17">
        <f>DATA_REP!F3</f>
        <v>2837486.43</v>
      </c>
      <c r="I9" s="25">
        <f>DATA_REP!G3</f>
        <v>1332</v>
      </c>
      <c r="J9" s="16">
        <f t="shared" si="1"/>
        <v>2</v>
      </c>
    </row>
    <row r="10" spans="1:10" ht="18" customHeight="1" x14ac:dyDescent="0.3">
      <c r="A10" s="13">
        <v>3</v>
      </c>
      <c r="B10" s="13" t="str">
        <f>DATA_REP!B4</f>
        <v>Amit Tiwari</v>
      </c>
      <c r="C10" s="13" t="str">
        <f>DATA_REP!C4</f>
        <v>Nagpur Central</v>
      </c>
      <c r="D10" s="14">
        <f>DATA_REP!D4</f>
        <v>7904062.9299999997</v>
      </c>
      <c r="E10" s="14">
        <f>DATA_REP!H4</f>
        <v>2160000</v>
      </c>
      <c r="F10" s="15">
        <f t="shared" si="0"/>
        <v>365.92883935185182</v>
      </c>
      <c r="G10" s="24">
        <f>DATA_REP!E4</f>
        <v>98406</v>
      </c>
      <c r="H10" s="14">
        <f>DATA_REP!F4</f>
        <v>2738800.29</v>
      </c>
      <c r="I10" s="24">
        <f>DATA_REP!G4</f>
        <v>1306</v>
      </c>
      <c r="J10" s="13">
        <f t="shared" si="1"/>
        <v>3</v>
      </c>
    </row>
    <row r="11" spans="1:10" ht="18" customHeight="1" x14ac:dyDescent="0.3">
      <c r="A11" s="16">
        <v>4</v>
      </c>
      <c r="B11" s="16" t="str">
        <f>DATA_REP!B5</f>
        <v>Nitin Wankhede</v>
      </c>
      <c r="C11" s="16" t="str">
        <f>DATA_REP!C5</f>
        <v>Amravati</v>
      </c>
      <c r="D11" s="17">
        <f>DATA_REP!D5</f>
        <v>6826375.2800000003</v>
      </c>
      <c r="E11" s="17">
        <f>DATA_REP!H5</f>
        <v>1740000</v>
      </c>
      <c r="F11" s="18">
        <f t="shared" si="0"/>
        <v>392.3204183908046</v>
      </c>
      <c r="G11" s="25">
        <f>DATA_REP!E5</f>
        <v>87924</v>
      </c>
      <c r="H11" s="17">
        <f>DATA_REP!F5</f>
        <v>2363193.91</v>
      </c>
      <c r="I11" s="25">
        <f>DATA_REP!G5</f>
        <v>1139</v>
      </c>
      <c r="J11" s="16">
        <f t="shared" si="1"/>
        <v>4</v>
      </c>
    </row>
    <row r="12" spans="1:10" ht="18" customHeight="1" x14ac:dyDescent="0.3">
      <c r="A12" s="13">
        <v>5</v>
      </c>
      <c r="B12" s="13" t="str">
        <f>DATA_REP!B6</f>
        <v>Rahul Chaudhary</v>
      </c>
      <c r="C12" s="13" t="str">
        <f>DATA_REP!C6</f>
        <v>Buldhana</v>
      </c>
      <c r="D12" s="14">
        <f>DATA_REP!D6</f>
        <v>6755123.3399999999</v>
      </c>
      <c r="E12" s="14">
        <f>DATA_REP!H6</f>
        <v>1440000</v>
      </c>
      <c r="F12" s="15">
        <f t="shared" si="0"/>
        <v>469.10578750000002</v>
      </c>
      <c r="G12" s="24">
        <f>DATA_REP!E6</f>
        <v>83645</v>
      </c>
      <c r="H12" s="14">
        <f>DATA_REP!F6</f>
        <v>2338191.16</v>
      </c>
      <c r="I12" s="24">
        <f>DATA_REP!G6</f>
        <v>1079</v>
      </c>
      <c r="J12" s="13">
        <f t="shared" si="1"/>
        <v>5</v>
      </c>
    </row>
    <row r="13" spans="1:10" ht="18" customHeight="1" x14ac:dyDescent="0.3">
      <c r="A13" s="16">
        <v>6</v>
      </c>
      <c r="B13" s="16" t="str">
        <f>DATA_REP!B7</f>
        <v>Suresh Korde</v>
      </c>
      <c r="C13" s="16" t="str">
        <f>DATA_REP!C7</f>
        <v>Yavatmal</v>
      </c>
      <c r="D13" s="17">
        <f>DATA_REP!D7</f>
        <v>6599432.7300000004</v>
      </c>
      <c r="E13" s="17">
        <f>DATA_REP!H7</f>
        <v>1560000</v>
      </c>
      <c r="F13" s="18">
        <f t="shared" si="0"/>
        <v>423.04055961538467</v>
      </c>
      <c r="G13" s="25">
        <f>DATA_REP!E7</f>
        <v>81172</v>
      </c>
      <c r="H13" s="17">
        <f>DATA_REP!F7</f>
        <v>2282386.69</v>
      </c>
      <c r="I13" s="25">
        <f>DATA_REP!G7</f>
        <v>1064</v>
      </c>
      <c r="J13" s="16">
        <f t="shared" si="1"/>
        <v>6</v>
      </c>
    </row>
    <row r="14" spans="1:10" ht="18" customHeight="1" x14ac:dyDescent="0.3">
      <c r="A14" s="13">
        <v>7</v>
      </c>
      <c r="B14" s="13" t="str">
        <f>DATA_REP!B8</f>
        <v>Mahesh Borkar</v>
      </c>
      <c r="C14" s="13" t="str">
        <f>DATA_REP!C8</f>
        <v>Akola</v>
      </c>
      <c r="D14" s="14">
        <f>DATA_REP!D8</f>
        <v>6403643.1600000001</v>
      </c>
      <c r="E14" s="14">
        <f>DATA_REP!H8</f>
        <v>1500000</v>
      </c>
      <c r="F14" s="15">
        <f t="shared" si="0"/>
        <v>426.90954399999998</v>
      </c>
      <c r="G14" s="24">
        <f>DATA_REP!E8</f>
        <v>79211</v>
      </c>
      <c r="H14" s="14">
        <f>DATA_REP!F8</f>
        <v>2218927.7400000002</v>
      </c>
      <c r="I14" s="24">
        <f>DATA_REP!G8</f>
        <v>1060</v>
      </c>
      <c r="J14" s="13">
        <f t="shared" si="1"/>
        <v>7</v>
      </c>
    </row>
    <row r="15" spans="1:10" ht="18" customHeight="1" x14ac:dyDescent="0.3">
      <c r="A15" s="16">
        <v>8</v>
      </c>
      <c r="B15" s="16" t="str">
        <f>DATA_REP!B9</f>
        <v>Deepak Pande</v>
      </c>
      <c r="C15" s="16" t="str">
        <f>DATA_REP!C9</f>
        <v>Wardha</v>
      </c>
      <c r="D15" s="17">
        <f>DATA_REP!D9</f>
        <v>6248891.2300000004</v>
      </c>
      <c r="E15" s="17">
        <f>DATA_REP!H9</f>
        <v>1680000</v>
      </c>
      <c r="F15" s="18">
        <f t="shared" si="0"/>
        <v>371.95781130952383</v>
      </c>
      <c r="G15" s="25">
        <f>DATA_REP!E9</f>
        <v>74814</v>
      </c>
      <c r="H15" s="17">
        <f>DATA_REP!F9</f>
        <v>2163509.0499999998</v>
      </c>
      <c r="I15" s="25">
        <f>DATA_REP!G9</f>
        <v>1032</v>
      </c>
      <c r="J15" s="16">
        <f t="shared" si="1"/>
        <v>8</v>
      </c>
    </row>
    <row r="16" spans="1:10" ht="21.75" customHeight="1" x14ac:dyDescent="0.3">
      <c r="A16" s="19"/>
      <c r="B16" s="19" t="s">
        <v>178</v>
      </c>
      <c r="C16" s="19"/>
      <c r="D16" s="20">
        <f>SUM(D8:D15)</f>
        <v>57579896.829999998</v>
      </c>
      <c r="E16" s="20">
        <f>SUM(E8:E15)</f>
        <v>14160000</v>
      </c>
      <c r="F16" s="21">
        <f t="shared" si="0"/>
        <v>406.63768947740112</v>
      </c>
      <c r="G16" s="26">
        <f>SUM(G8:G15)</f>
        <v>710635</v>
      </c>
      <c r="H16" s="20">
        <f>SUM(H8:H15)</f>
        <v>19942237.640000001</v>
      </c>
      <c r="I16" s="26">
        <f>SUM(I8:I15)</f>
        <v>9420</v>
      </c>
      <c r="J16" s="19"/>
    </row>
  </sheetData>
  <mergeCells count="2">
    <mergeCell ref="A1:I1"/>
    <mergeCell ref="A2:I2"/>
  </mergeCells>
  <conditionalFormatting sqref="F8:F15">
    <cfRule type="colorScale" priority="2">
      <colorScale>
        <cfvo type="num" val="80"/>
        <cfvo type="num" val="93"/>
        <cfvo type="num" val="100"/>
        <color rgb="FFFFC7CE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zoomScaleNormal="100" workbookViewId="0"/>
  </sheetViews>
  <sheetFormatPr defaultColWidth="8.6640625" defaultRowHeight="14.4" x14ac:dyDescent="0.3"/>
  <sheetData>
    <row r="1" spans="1:9" ht="15" customHeight="1" x14ac:dyDescent="0.3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</row>
    <row r="2" spans="1:9" ht="15" customHeight="1" x14ac:dyDescent="0.3">
      <c r="A2" t="s">
        <v>188</v>
      </c>
      <c r="B2" t="s">
        <v>189</v>
      </c>
      <c r="C2" t="s">
        <v>190</v>
      </c>
      <c r="D2">
        <v>8655178.1600000001</v>
      </c>
      <c r="E2">
        <v>104827</v>
      </c>
      <c r="F2">
        <v>2999742.37</v>
      </c>
      <c r="G2">
        <v>1408</v>
      </c>
      <c r="H2">
        <v>2100000</v>
      </c>
      <c r="I2">
        <v>412.2</v>
      </c>
    </row>
    <row r="3" spans="1:9" ht="15" customHeight="1" x14ac:dyDescent="0.3">
      <c r="A3" t="s">
        <v>191</v>
      </c>
      <c r="B3" t="s">
        <v>192</v>
      </c>
      <c r="C3" t="s">
        <v>193</v>
      </c>
      <c r="D3">
        <v>8187190</v>
      </c>
      <c r="E3">
        <v>100636</v>
      </c>
      <c r="F3">
        <v>2837486.43</v>
      </c>
      <c r="G3">
        <v>1332</v>
      </c>
      <c r="H3">
        <v>1980000</v>
      </c>
      <c r="I3">
        <v>413.5</v>
      </c>
    </row>
    <row r="4" spans="1:9" ht="15" customHeight="1" x14ac:dyDescent="0.3">
      <c r="A4" t="s">
        <v>194</v>
      </c>
      <c r="B4" t="s">
        <v>195</v>
      </c>
      <c r="C4" t="s">
        <v>196</v>
      </c>
      <c r="D4">
        <v>7904062.9299999997</v>
      </c>
      <c r="E4">
        <v>98406</v>
      </c>
      <c r="F4">
        <v>2738800.29</v>
      </c>
      <c r="G4">
        <v>1306</v>
      </c>
      <c r="H4">
        <v>2160000</v>
      </c>
      <c r="I4">
        <v>365.9</v>
      </c>
    </row>
    <row r="5" spans="1:9" ht="15" customHeight="1" x14ac:dyDescent="0.3">
      <c r="A5" t="s">
        <v>197</v>
      </c>
      <c r="B5" t="s">
        <v>198</v>
      </c>
      <c r="C5" t="s">
        <v>199</v>
      </c>
      <c r="D5">
        <v>6826375.2800000003</v>
      </c>
      <c r="E5">
        <v>87924</v>
      </c>
      <c r="F5">
        <v>2363193.91</v>
      </c>
      <c r="G5">
        <v>1139</v>
      </c>
      <c r="H5">
        <v>1740000</v>
      </c>
      <c r="I5">
        <v>392.3</v>
      </c>
    </row>
    <row r="6" spans="1:9" ht="15" customHeight="1" x14ac:dyDescent="0.3">
      <c r="A6" t="s">
        <v>200</v>
      </c>
      <c r="B6" t="s">
        <v>201</v>
      </c>
      <c r="C6" t="s">
        <v>202</v>
      </c>
      <c r="D6">
        <v>6755123.3399999999</v>
      </c>
      <c r="E6">
        <v>83645</v>
      </c>
      <c r="F6">
        <v>2338191.16</v>
      </c>
      <c r="G6">
        <v>1079</v>
      </c>
      <c r="H6">
        <v>1440000</v>
      </c>
      <c r="I6">
        <v>469.1</v>
      </c>
    </row>
    <row r="7" spans="1:9" ht="15" customHeight="1" x14ac:dyDescent="0.3">
      <c r="A7" t="s">
        <v>203</v>
      </c>
      <c r="B7" t="s">
        <v>204</v>
      </c>
      <c r="C7" t="s">
        <v>205</v>
      </c>
      <c r="D7">
        <v>6599432.7300000004</v>
      </c>
      <c r="E7">
        <v>81172</v>
      </c>
      <c r="F7">
        <v>2282386.69</v>
      </c>
      <c r="G7">
        <v>1064</v>
      </c>
      <c r="H7">
        <v>1560000</v>
      </c>
      <c r="I7">
        <v>423</v>
      </c>
    </row>
    <row r="8" spans="1:9" ht="15" customHeight="1" x14ac:dyDescent="0.3">
      <c r="A8" t="s">
        <v>206</v>
      </c>
      <c r="B8" t="s">
        <v>207</v>
      </c>
      <c r="C8" t="s">
        <v>208</v>
      </c>
      <c r="D8">
        <v>6403643.1600000001</v>
      </c>
      <c r="E8">
        <v>79211</v>
      </c>
      <c r="F8">
        <v>2218927.7400000002</v>
      </c>
      <c r="G8">
        <v>1060</v>
      </c>
      <c r="H8">
        <v>1500000</v>
      </c>
      <c r="I8">
        <v>426.9</v>
      </c>
    </row>
    <row r="9" spans="1:9" ht="15" customHeight="1" x14ac:dyDescent="0.3">
      <c r="A9" t="s">
        <v>209</v>
      </c>
      <c r="B9" t="s">
        <v>210</v>
      </c>
      <c r="C9" t="s">
        <v>211</v>
      </c>
      <c r="D9">
        <v>6248891.2300000004</v>
      </c>
      <c r="E9">
        <v>74814</v>
      </c>
      <c r="F9">
        <v>2163509.0499999998</v>
      </c>
      <c r="G9">
        <v>1032</v>
      </c>
      <c r="H9">
        <v>1680000</v>
      </c>
      <c r="I9">
        <v>372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5100"/>
  </sheetPr>
  <dimension ref="A1:F46"/>
  <sheetViews>
    <sheetView showGridLines="0" zoomScale="90" zoomScaleNormal="90" workbookViewId="0">
      <selection activeCell="C38" sqref="C38"/>
    </sheetView>
  </sheetViews>
  <sheetFormatPr defaultColWidth="8.6640625" defaultRowHeight="14.4" x14ac:dyDescent="0.3"/>
  <cols>
    <col min="1" max="1" width="4" customWidth="1"/>
    <col min="2" max="2" width="35" customWidth="1"/>
    <col min="3" max="4" width="28" customWidth="1"/>
    <col min="5" max="6" width="20" customWidth="1"/>
  </cols>
  <sheetData>
    <row r="1" spans="1:6" ht="37.5" customHeight="1" x14ac:dyDescent="0.3">
      <c r="A1" s="42" t="s">
        <v>31</v>
      </c>
      <c r="B1" s="42"/>
      <c r="C1" s="42"/>
      <c r="D1" s="42"/>
      <c r="E1" s="42"/>
      <c r="F1" s="42"/>
    </row>
    <row r="2" spans="1:6" ht="21.75" customHeight="1" x14ac:dyDescent="0.3">
      <c r="A2" s="43" t="s">
        <v>212</v>
      </c>
      <c r="B2" s="43"/>
      <c r="C2" s="43"/>
      <c r="D2" s="43"/>
      <c r="E2" s="43"/>
      <c r="F2" s="43"/>
    </row>
    <row r="3" spans="1:6" ht="9.75" customHeight="1" x14ac:dyDescent="0.3"/>
    <row r="4" spans="1:6" ht="24" customHeight="1" x14ac:dyDescent="0.3">
      <c r="A4" s="41" t="s">
        <v>213</v>
      </c>
      <c r="B4" s="41"/>
      <c r="C4" s="41"/>
      <c r="D4" s="41"/>
      <c r="E4" s="41"/>
      <c r="F4" s="41"/>
    </row>
    <row r="5" spans="1:6" ht="21.75" customHeight="1" x14ac:dyDescent="0.3">
      <c r="B5" s="30" t="s">
        <v>214</v>
      </c>
      <c r="C5" s="31">
        <f>'📊 Sales MIS'!C20</f>
        <v>58547393</v>
      </c>
      <c r="D5" s="32" t="s">
        <v>215</v>
      </c>
    </row>
    <row r="6" spans="1:6" ht="21.75" customHeight="1" x14ac:dyDescent="0.3">
      <c r="B6" s="30" t="s">
        <v>216</v>
      </c>
      <c r="C6" s="31">
        <f>'📊 Sales MIS'!D20</f>
        <v>63071496</v>
      </c>
      <c r="D6" s="32" t="s">
        <v>217</v>
      </c>
    </row>
    <row r="7" spans="1:6" ht="21.75" customHeight="1" x14ac:dyDescent="0.3">
      <c r="B7" s="30" t="s">
        <v>218</v>
      </c>
      <c r="C7" s="33">
        <f>'📊 Sales MIS'!E20</f>
        <v>92.827024429545801</v>
      </c>
      <c r="D7" s="32" t="s">
        <v>219</v>
      </c>
    </row>
    <row r="8" spans="1:6" ht="21.75" customHeight="1" x14ac:dyDescent="0.3">
      <c r="B8" s="30" t="s">
        <v>220</v>
      </c>
      <c r="C8" s="31">
        <f>'📊 Sales MIS'!F20</f>
        <v>19942239</v>
      </c>
      <c r="D8" s="32" t="s">
        <v>221</v>
      </c>
    </row>
    <row r="9" spans="1:6" ht="21.75" customHeight="1" x14ac:dyDescent="0.3">
      <c r="B9" s="30" t="s">
        <v>222</v>
      </c>
      <c r="C9" s="33">
        <f>'📊 Sales MIS'!G20</f>
        <v>34.061702798619912</v>
      </c>
      <c r="D9" s="32" t="s">
        <v>223</v>
      </c>
    </row>
    <row r="10" spans="1:6" ht="21.75" customHeight="1" x14ac:dyDescent="0.3">
      <c r="B10" s="30" t="s">
        <v>224</v>
      </c>
      <c r="C10" s="1" t="str">
        <f>INDEX('📊 Sales MIS'!B8:B19,MATCH(MAX('📊 Sales MIS'!C8:C19),'📊 Sales MIS'!C8:C19,0))</f>
        <v>Nov-2024</v>
      </c>
      <c r="D10" s="32" t="s">
        <v>225</v>
      </c>
    </row>
    <row r="11" spans="1:6" ht="21.75" customHeight="1" x14ac:dyDescent="0.3">
      <c r="B11" s="30" t="s">
        <v>226</v>
      </c>
      <c r="C11" s="31">
        <f>MAX('📊 Sales MIS'!C8:C19)</f>
        <v>5872524</v>
      </c>
      <c r="D11" s="32" t="s">
        <v>227</v>
      </c>
    </row>
    <row r="12" spans="1:6" ht="21.75" customHeight="1" x14ac:dyDescent="0.3">
      <c r="B12" s="30" t="s">
        <v>228</v>
      </c>
      <c r="C12" s="31">
        <f>MIN('📊 Sales MIS'!C8:C19)</f>
        <v>3961742</v>
      </c>
      <c r="D12" s="32" t="s">
        <v>229</v>
      </c>
    </row>
    <row r="13" spans="1:6" ht="21.75" customHeight="1" x14ac:dyDescent="0.3">
      <c r="B13" s="30" t="s">
        <v>230</v>
      </c>
      <c r="C13" s="1" t="str">
        <f>IF('📊 Sales MIS'!E20&lt;80,"🔴 ALERT: Below 80% of Target",IF('📊 Sales MIS'!E20&lt;95,"🟡 WARNING: Below 95%","✅ ON TRACK"))</f>
        <v>🟡 WARNING: Below 95%</v>
      </c>
      <c r="D13" s="32" t="s">
        <v>231</v>
      </c>
    </row>
    <row r="14" spans="1:6" ht="7.5" customHeight="1" x14ac:dyDescent="0.3"/>
    <row r="15" spans="1:6" ht="24" customHeight="1" x14ac:dyDescent="0.3">
      <c r="A15" s="41" t="s">
        <v>232</v>
      </c>
      <c r="B15" s="41"/>
      <c r="C15" s="41"/>
      <c r="D15" s="41"/>
      <c r="E15" s="41"/>
      <c r="F15" s="41"/>
    </row>
    <row r="16" spans="1:6" ht="21.75" customHeight="1" x14ac:dyDescent="0.3">
      <c r="B16" s="30" t="s">
        <v>233</v>
      </c>
      <c r="C16" s="34">
        <f>'📦 Inventory Report'!C20</f>
        <v>18.899999999999999</v>
      </c>
      <c r="D16" s="32" t="s">
        <v>234</v>
      </c>
    </row>
    <row r="17" spans="1:6" ht="21.75" customHeight="1" x14ac:dyDescent="0.3">
      <c r="B17" s="30" t="s">
        <v>235</v>
      </c>
      <c r="C17" s="34">
        <f>'📦 Inventory Report'!D20</f>
        <v>3001438</v>
      </c>
      <c r="D17" s="32" t="s">
        <v>236</v>
      </c>
    </row>
    <row r="18" spans="1:6" ht="21.75" customHeight="1" x14ac:dyDescent="0.3">
      <c r="B18" s="30" t="s">
        <v>237</v>
      </c>
      <c r="C18" s="34">
        <f>'📦 Inventory Report'!E20</f>
        <v>2895608</v>
      </c>
      <c r="D18" s="32" t="s">
        <v>238</v>
      </c>
    </row>
    <row r="19" spans="1:6" ht="21.75" customHeight="1" x14ac:dyDescent="0.3">
      <c r="B19" s="30" t="s">
        <v>62</v>
      </c>
      <c r="C19" s="33">
        <f>IFERROR('📦 Inventory Report'!H5,0)</f>
        <v>15320677.24867725</v>
      </c>
      <c r="D19" s="32" t="s">
        <v>239</v>
      </c>
    </row>
    <row r="20" spans="1:6" ht="21.75" customHeight="1" x14ac:dyDescent="0.3">
      <c r="B20" s="30" t="s">
        <v>240</v>
      </c>
      <c r="C20" s="34">
        <f>'📦 Inventory Report'!B5</f>
        <v>18.899999999999999</v>
      </c>
      <c r="D20" s="32" t="s">
        <v>241</v>
      </c>
    </row>
    <row r="21" spans="1:6" ht="21.75" customHeight="1" x14ac:dyDescent="0.3">
      <c r="B21" s="30" t="s">
        <v>242</v>
      </c>
      <c r="C21" s="34">
        <f>'📦 Inventory Report'!C5</f>
        <v>3001438</v>
      </c>
      <c r="D21" s="32" t="s">
        <v>243</v>
      </c>
    </row>
    <row r="22" spans="1:6" ht="21.75" customHeight="1" x14ac:dyDescent="0.3">
      <c r="B22" s="30" t="s">
        <v>244</v>
      </c>
      <c r="C22" s="33">
        <f>'📦 Inventory Report'!G5</f>
        <v>97.833333333333329</v>
      </c>
      <c r="D22" s="32" t="s">
        <v>245</v>
      </c>
    </row>
    <row r="23" spans="1:6" ht="21.75" customHeight="1" x14ac:dyDescent="0.3">
      <c r="B23" s="30" t="s">
        <v>246</v>
      </c>
      <c r="C23" s="1" t="str">
        <f>IF('📦 Inventory Report'!D5&lt;85,"🔴 ALERT: OTD Below 85%",IF('📦 Inventory Report'!D5&lt;90,"🟡 WARNING: OTD Below 90%","✅ OTD ON TRACK"))</f>
        <v>✅ OTD ON TRACK</v>
      </c>
      <c r="D23" s="32" t="s">
        <v>231</v>
      </c>
    </row>
    <row r="24" spans="1:6" ht="7.5" customHeight="1" x14ac:dyDescent="0.3"/>
    <row r="25" spans="1:6" ht="24" customHeight="1" x14ac:dyDescent="0.3">
      <c r="A25" s="41" t="s">
        <v>247</v>
      </c>
      <c r="B25" s="41"/>
      <c r="C25" s="41"/>
      <c r="D25" s="41"/>
      <c r="E25" s="41"/>
      <c r="F25" s="41"/>
    </row>
    <row r="26" spans="1:6" ht="21.75" customHeight="1" x14ac:dyDescent="0.3">
      <c r="B26" s="30" t="s">
        <v>248</v>
      </c>
      <c r="C26" s="31">
        <f>'💰 Cost Variance'!C5</f>
        <v>20012400</v>
      </c>
      <c r="D26" s="32" t="s">
        <v>249</v>
      </c>
    </row>
    <row r="27" spans="1:6" ht="21.75" customHeight="1" x14ac:dyDescent="0.3">
      <c r="B27" s="30" t="s">
        <v>250</v>
      </c>
      <c r="C27" s="31">
        <f>'💰 Cost Variance'!D5</f>
        <v>311912</v>
      </c>
      <c r="D27" s="32" t="s">
        <v>251</v>
      </c>
    </row>
    <row r="28" spans="1:6" ht="21.75" customHeight="1" x14ac:dyDescent="0.3">
      <c r="B28" s="30" t="s">
        <v>252</v>
      </c>
      <c r="C28" s="31">
        <f>'💰 Cost Variance'!E5</f>
        <v>6316.0404216573907</v>
      </c>
      <c r="D28" s="32" t="s">
        <v>253</v>
      </c>
    </row>
    <row r="29" spans="1:6" ht="21.75" customHeight="1" x14ac:dyDescent="0.3">
      <c r="B29" s="30" t="s">
        <v>254</v>
      </c>
      <c r="C29" s="33">
        <f>'💰 Cost Variance'!F5</f>
        <v>25</v>
      </c>
      <c r="D29" s="32" t="s">
        <v>255</v>
      </c>
    </row>
    <row r="30" spans="1:6" ht="21.75" customHeight="1" x14ac:dyDescent="0.3">
      <c r="B30" s="30" t="s">
        <v>256</v>
      </c>
      <c r="C30" s="34">
        <f>'💰 Cost Variance'!G5</f>
        <v>13</v>
      </c>
      <c r="D30" s="32" t="s">
        <v>257</v>
      </c>
    </row>
    <row r="31" spans="1:6" ht="21.75" customHeight="1" x14ac:dyDescent="0.3">
      <c r="B31" s="30" t="s">
        <v>258</v>
      </c>
      <c r="C31" s="34" t="str">
        <f>'💰 Cost Variance'!H5</f>
        <v>🔴 Over Budget</v>
      </c>
      <c r="D31" s="32" t="s">
        <v>259</v>
      </c>
    </row>
    <row r="32" spans="1:6" ht="21.75" customHeight="1" x14ac:dyDescent="0.3">
      <c r="B32" s="30" t="s">
        <v>260</v>
      </c>
      <c r="C32" s="1" t="str">
        <f>'💰 Cost Variance'!I5</f>
        <v>🔴 Over Budget</v>
      </c>
      <c r="D32" s="32" t="s">
        <v>231</v>
      </c>
    </row>
    <row r="33" spans="1:6" ht="7.5" customHeight="1" x14ac:dyDescent="0.3"/>
    <row r="34" spans="1:6" ht="24" customHeight="1" x14ac:dyDescent="0.3">
      <c r="A34" s="41" t="s">
        <v>261</v>
      </c>
      <c r="B34" s="41"/>
      <c r="C34" s="41"/>
      <c r="D34" s="41"/>
      <c r="E34" s="41"/>
      <c r="F34" s="41"/>
    </row>
    <row r="35" spans="1:6" ht="21.75" customHeight="1" x14ac:dyDescent="0.3">
      <c r="B35" s="30" t="s">
        <v>262</v>
      </c>
      <c r="C35" s="1" t="str">
        <f>INDEX('👤 Rep Performance'!B8:B17,MATCH(MAX('👤 Rep Performance'!D8:D17),'👤 Rep Performance'!D8:D17,0))</f>
        <v>TEAM TOTAL</v>
      </c>
      <c r="D35" s="32" t="s">
        <v>263</v>
      </c>
    </row>
    <row r="36" spans="1:6" ht="21.75" customHeight="1" x14ac:dyDescent="0.3">
      <c r="B36" s="30" t="s">
        <v>264</v>
      </c>
      <c r="C36" s="31">
        <f>MAX('👤 Rep Performance'!D8:D17)</f>
        <v>57579896.829999998</v>
      </c>
    </row>
    <row r="37" spans="1:6" ht="21.75" customHeight="1" x14ac:dyDescent="0.3">
      <c r="B37" s="30" t="s">
        <v>265</v>
      </c>
      <c r="C37" s="33">
        <f>'👤 Rep Performance'!D5</f>
        <v>409.36250000000001</v>
      </c>
      <c r="D37" s="32" t="s">
        <v>266</v>
      </c>
    </row>
    <row r="38" spans="1:6" ht="21.75" customHeight="1" x14ac:dyDescent="0.3">
      <c r="B38" s="30" t="s">
        <v>267</v>
      </c>
      <c r="C38" s="34">
        <f>'👤 Rep Performance'!F5</f>
        <v>0</v>
      </c>
      <c r="D38" s="32" t="s">
        <v>268</v>
      </c>
    </row>
    <row r="39" spans="1:6" ht="21.75" customHeight="1" x14ac:dyDescent="0.3">
      <c r="B39" s="30" t="s">
        <v>269</v>
      </c>
      <c r="C39" s="34">
        <f>COUNTIF('👤 Rep Performance'!F8:F17,"&gt;="&amp;95)</f>
        <v>9</v>
      </c>
      <c r="D39" s="32" t="s">
        <v>270</v>
      </c>
    </row>
    <row r="40" spans="1:6" ht="7.5" customHeight="1" x14ac:dyDescent="0.3"/>
    <row r="41" spans="1:6" ht="24" customHeight="1" x14ac:dyDescent="0.3">
      <c r="A41" s="41" t="s">
        <v>271</v>
      </c>
      <c r="B41" s="41"/>
      <c r="C41" s="41"/>
      <c r="D41" s="41"/>
      <c r="E41" s="41"/>
      <c r="F41" s="41"/>
    </row>
    <row r="42" spans="1:6" ht="24" customHeight="1" x14ac:dyDescent="0.3">
      <c r="B42" s="30" t="s">
        <v>272</v>
      </c>
      <c r="C42" s="40" t="str">
        <f>IF('📊 Sales MIS'!E20&lt;80,"🔴 CRITICAL: Sales &lt;80%",IF('📊 Sales MIS'!E20&lt;95,"🟡 WARNING: Sales &lt;95%","✅ Sales OK"))</f>
        <v>🟡 WARNING: Sales &lt;95%</v>
      </c>
      <c r="D42" s="40"/>
      <c r="E42" s="40"/>
      <c r="F42" s="40"/>
    </row>
    <row r="43" spans="1:6" ht="24" customHeight="1" x14ac:dyDescent="0.3">
      <c r="B43" s="30" t="s">
        <v>273</v>
      </c>
      <c r="C43" s="40" t="str">
        <f>IF('📦 Inventory Report'!D5&lt;85,"🔴 CRITICAL: OTD &lt;85%",IF('📦 Inventory Report'!D5&lt;90,"🟡 WARNING: OTD &lt;90%","✅ OTD OK"))</f>
        <v>✅ OTD OK</v>
      </c>
      <c r="D43" s="40"/>
      <c r="E43" s="40"/>
      <c r="F43" s="40"/>
    </row>
    <row r="44" spans="1:6" ht="24" customHeight="1" x14ac:dyDescent="0.3">
      <c r="B44" s="30" t="s">
        <v>274</v>
      </c>
      <c r="C44" s="40" t="str">
        <f>IF('💰 Cost Variance'!F5&gt;10,"🔴 CRITICAL: OpEx &gt;10% over",IF('💰 Cost Variance'!F5&gt;5,"🟡 WARNING: OpEx &gt;5% over","✅ Cost OK"))</f>
        <v>🔴 CRITICAL: OpEx &gt;10% over</v>
      </c>
      <c r="D44" s="40"/>
      <c r="E44" s="40"/>
      <c r="F44" s="40"/>
    </row>
    <row r="45" spans="1:6" ht="24" customHeight="1" x14ac:dyDescent="0.3">
      <c r="B45" s="30" t="s">
        <v>275</v>
      </c>
      <c r="C45" s="40" t="str">
        <f>IF('📦 Inventory Report'!G20&gt;2,"🔴 CRITICAL: Damage Rate &gt;2%",IF('📦 Inventory Report'!G20&gt;1,"🟡 WARNING: Damage Rate &gt;1%","✅ Damage OK"))</f>
        <v>🔴 CRITICAL: Damage Rate &gt;2%</v>
      </c>
      <c r="D45" s="40"/>
      <c r="E45" s="40"/>
      <c r="F45" s="40"/>
    </row>
    <row r="46" spans="1:6" ht="24" customHeight="1" x14ac:dyDescent="0.3">
      <c r="B46" s="30" t="s">
        <v>276</v>
      </c>
      <c r="C46" s="40" t="str">
        <f>IF(COUNTIF('👤 Rep Performance'!F8:F17,"&lt;80")&gt;2,"🔴 CRITICAL: 3+ Reps below 80%",IF(COUNTIF('👤 Rep Performance'!F8:F17,"&lt;90")&gt;3,"🟡 WARNING: Multiple reps underperforming","✅ Team OK"))</f>
        <v>✅ Team OK</v>
      </c>
      <c r="D46" s="40"/>
      <c r="E46" s="40"/>
      <c r="F46" s="40"/>
    </row>
  </sheetData>
  <mergeCells count="12">
    <mergeCell ref="A1:F1"/>
    <mergeCell ref="A2:F2"/>
    <mergeCell ref="A4:F4"/>
    <mergeCell ref="A15:F15"/>
    <mergeCell ref="A25:F25"/>
    <mergeCell ref="C45:F45"/>
    <mergeCell ref="C46:F46"/>
    <mergeCell ref="A34:F34"/>
    <mergeCell ref="A41:F41"/>
    <mergeCell ref="C42:F42"/>
    <mergeCell ref="C43:F43"/>
    <mergeCell ref="C44:F44"/>
  </mergeCells>
  <conditionalFormatting sqref="C42:F46">
    <cfRule type="expression" dxfId="2" priority="2">
      <formula>ISNUMBER(SEARCH("🔴",C42))</formula>
    </cfRule>
    <cfRule type="expression" dxfId="1" priority="3">
      <formula>ISNUMBER(SEARCH("🟡",C42))</formula>
    </cfRule>
    <cfRule type="expression" dxfId="0" priority="4">
      <formula>ISNUMBER(SEARCH("✅",C42))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DATA_KPI</vt:lpstr>
      <vt:lpstr>📊 Sales MIS</vt:lpstr>
      <vt:lpstr>📦 Inventory Report</vt:lpstr>
      <vt:lpstr>💰 Cost Variance</vt:lpstr>
      <vt:lpstr>DATA_COST</vt:lpstr>
      <vt:lpstr>👤 Rep Performance</vt:lpstr>
      <vt:lpstr>DATA_REP</vt:lpstr>
      <vt:lpstr>📋 Weekly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Chirag Lohakare</cp:lastModifiedBy>
  <cp:revision>0</cp:revision>
  <dcterms:created xsi:type="dcterms:W3CDTF">2026-06-07T09:54:33Z</dcterms:created>
  <dcterms:modified xsi:type="dcterms:W3CDTF">2026-06-07T13:20:12Z</dcterms:modified>
  <dc:language>en-US</dc:language>
</cp:coreProperties>
</file>